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frelotraders-my.sharepoint.com/personal/joylorna_frelotraders_onmicrosoft_com/Documents/Documents/11 portfolio projects/project 9/"/>
    </mc:Choice>
  </mc:AlternateContent>
  <xr:revisionPtr revIDLastSave="6751" documentId="8_{AAA0F2B9-0633-4EDD-9CF9-1DD137218794}" xr6:coauthVersionLast="47" xr6:coauthVersionMax="47" xr10:uidLastSave="{B0AE7696-ABAA-4357-92B4-96E9C808D9DF}"/>
  <bookViews>
    <workbookView xWindow="-110" yWindow="-110" windowWidth="19420" windowHeight="10300" firstSheet="6" activeTab="12" xr2:uid="{00000000-000D-0000-FFFF-FFFF00000000}"/>
  </bookViews>
  <sheets>
    <sheet name="Cover" sheetId="14" r:id="rId1"/>
    <sheet name="Exec_Summary" sheetId="12" r:id="rId2"/>
    <sheet name="Assumptions" sheetId="15" r:id="rId3"/>
    <sheet name="Data_Raw" sheetId="3" r:id="rId4"/>
    <sheet name="Historicals" sheetId="16" r:id="rId5"/>
    <sheet name="Projections" sheetId="17" r:id="rId6"/>
    <sheet name="WACC" sheetId="6" r:id="rId7"/>
    <sheet name="DCF" sheetId="18" r:id="rId8"/>
    <sheet name="Sensitivity" sheetId="19" r:id="rId9"/>
    <sheet name="Comps" sheetId="9" r:id="rId10"/>
    <sheet name="Football_Field" sheetId="10" r:id="rId11"/>
    <sheet name="Charts" sheetId="11" r:id="rId12"/>
    <sheet name="Sources" sheetId="13" r:id="rId13"/>
  </sheets>
  <definedNames>
    <definedName name="CompsWeight">Assumptions!$B$10</definedName>
    <definedName name="DCFWeight">Assumptions!$B$9</definedName>
    <definedName name="DilutedShares">Assumptions!$B$27</definedName>
    <definedName name="FY2025AdjEBITDA">Assumptions!$B$24</definedName>
    <definedName name="MinorityInterests">Assumptions!$B$26</definedName>
    <definedName name="NetDebtToEBITDA">Assumptions!$B$25</definedName>
    <definedName name="PrimaryWACC">Assumptions!$B$7</definedName>
    <definedName name="_xlnm.Print_Area" localSheetId="0">Cover!$A$1:$G$31</definedName>
    <definedName name="_xlnm.Print_Area" localSheetId="1">Exec_Summary!$A$1:$H$43</definedName>
    <definedName name="_xlnm.Print_Area" localSheetId="10">Football_Field!$A$1:$H$54</definedName>
    <definedName name="SelectedScenario">Assumptions!$B$5</definedName>
    <definedName name="TerminalGrowth">Assumptions!$B$8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1" i="18" l="1"/>
  <c r="B13" i="18"/>
  <c r="B54" i="18" s="1"/>
  <c r="B17" i="18"/>
  <c r="B3" i="6"/>
  <c r="D20" i="12"/>
  <c r="A2" i="12"/>
  <c r="A2" i="11"/>
  <c r="F8" i="10"/>
  <c r="A2" i="10"/>
  <c r="B51" i="10"/>
  <c r="B35" i="10"/>
  <c r="C35" i="10" s="1"/>
  <c r="B52" i="9"/>
  <c r="B49" i="9"/>
  <c r="B48" i="9"/>
  <c r="B47" i="9"/>
  <c r="B41" i="9"/>
  <c r="B30" i="9"/>
  <c r="C30" i="9" s="1"/>
  <c r="B16" i="9"/>
  <c r="B15" i="9"/>
  <c r="B43" i="9" s="1"/>
  <c r="B40" i="19"/>
  <c r="A19" i="19"/>
  <c r="A18" i="19"/>
  <c r="A17" i="19"/>
  <c r="A16" i="19"/>
  <c r="A15" i="19"/>
  <c r="B53" i="6"/>
  <c r="B36" i="6"/>
  <c r="B28" i="6"/>
  <c r="B37" i="6" s="1"/>
  <c r="E19" i="6"/>
  <c r="E18" i="6"/>
  <c r="E17" i="6"/>
  <c r="E16" i="6"/>
  <c r="E15" i="6"/>
  <c r="B9" i="6"/>
  <c r="B48" i="6" s="1"/>
  <c r="F11" i="16"/>
  <c r="D11" i="16"/>
  <c r="C11" i="16"/>
  <c r="B11" i="16"/>
  <c r="F10" i="16"/>
  <c r="D10" i="16"/>
  <c r="C10" i="16"/>
  <c r="B10" i="16"/>
  <c r="F9" i="16"/>
  <c r="D9" i="16"/>
  <c r="C9" i="16"/>
  <c r="B9" i="16"/>
  <c r="F8" i="16"/>
  <c r="F7" i="16"/>
  <c r="D7" i="16"/>
  <c r="C7" i="16"/>
  <c r="B7" i="16"/>
  <c r="F6" i="16"/>
  <c r="D6" i="16"/>
  <c r="C6" i="16"/>
  <c r="B6" i="16"/>
  <c r="B30" i="3"/>
  <c r="B29" i="3"/>
  <c r="B28" i="3"/>
  <c r="B26" i="3"/>
  <c r="B25" i="3"/>
  <c r="D8" i="3"/>
  <c r="D8" i="16" s="1"/>
  <c r="C8" i="3"/>
  <c r="C8" i="16" s="1"/>
  <c r="B8" i="3"/>
  <c r="B8" i="16" s="1"/>
  <c r="B25" i="15"/>
  <c r="B24" i="15"/>
  <c r="F20" i="15"/>
  <c r="E20" i="15"/>
  <c r="D20" i="15"/>
  <c r="C20" i="15"/>
  <c r="B20" i="15"/>
  <c r="F19" i="15"/>
  <c r="E19" i="15"/>
  <c r="D19" i="15"/>
  <c r="C19" i="15"/>
  <c r="B19" i="15"/>
  <c r="F18" i="15"/>
  <c r="E18" i="15"/>
  <c r="D18" i="15"/>
  <c r="C18" i="15"/>
  <c r="B18" i="15"/>
  <c r="F17" i="15"/>
  <c r="F11" i="17" s="1"/>
  <c r="E17" i="15"/>
  <c r="E11" i="17" s="1"/>
  <c r="D17" i="15"/>
  <c r="D11" i="17" s="1"/>
  <c r="C17" i="15"/>
  <c r="C11" i="17" s="1"/>
  <c r="B17" i="15"/>
  <c r="B11" i="17" s="1"/>
  <c r="F16" i="15"/>
  <c r="F9" i="17" s="1"/>
  <c r="C25" i="17" s="1"/>
  <c r="E16" i="15"/>
  <c r="E9" i="17" s="1"/>
  <c r="D16" i="15"/>
  <c r="D9" i="17" s="1"/>
  <c r="C16" i="15"/>
  <c r="C9" i="17" s="1"/>
  <c r="B16" i="15"/>
  <c r="B9" i="17" s="1"/>
  <c r="B25" i="17" s="1"/>
  <c r="F15" i="15"/>
  <c r="F7" i="17" s="1"/>
  <c r="E15" i="15"/>
  <c r="E7" i="17" s="1"/>
  <c r="D15" i="15"/>
  <c r="D7" i="17" s="1"/>
  <c r="C15" i="15"/>
  <c r="C7" i="17" s="1"/>
  <c r="B15" i="15"/>
  <c r="B7" i="17" s="1"/>
  <c r="B8" i="15"/>
  <c r="B6" i="18" s="1"/>
  <c r="B7" i="15"/>
  <c r="B5" i="18" s="1"/>
  <c r="C22" i="18" s="1"/>
  <c r="C17" i="18" l="1"/>
  <c r="B10" i="18"/>
  <c r="C16" i="16"/>
  <c r="D22" i="18"/>
  <c r="E22" i="18"/>
  <c r="F22" i="18"/>
  <c r="B29" i="18" s="1"/>
  <c r="B39" i="18"/>
  <c r="B49" i="18"/>
  <c r="B22" i="18"/>
  <c r="B38" i="17"/>
  <c r="C17" i="16"/>
  <c r="E9" i="16"/>
  <c r="E11" i="16"/>
  <c r="B6" i="17"/>
  <c r="E22" i="6"/>
  <c r="B41" i="17"/>
  <c r="B30" i="6"/>
  <c r="B52" i="6" s="1"/>
  <c r="B50" i="6"/>
  <c r="E21" i="6"/>
  <c r="B49" i="6"/>
  <c r="B34" i="6"/>
  <c r="C36" i="6"/>
  <c r="D25" i="17"/>
  <c r="C15" i="16"/>
  <c r="E6" i="16"/>
  <c r="E10" i="16"/>
  <c r="E7" i="16"/>
  <c r="E8" i="16"/>
  <c r="C18" i="16"/>
  <c r="B27" i="3"/>
  <c r="C6" i="17" l="1"/>
  <c r="C6" i="11" s="1"/>
  <c r="B6" i="11"/>
  <c r="B28" i="9"/>
  <c r="C28" i="9" s="1"/>
  <c r="B33" i="10"/>
  <c r="C33" i="10" s="1"/>
  <c r="B16" i="17"/>
  <c r="B28" i="17" s="1"/>
  <c r="B8" i="17"/>
  <c r="B23" i="17"/>
  <c r="B51" i="6"/>
  <c r="B17" i="17"/>
  <c r="B10" i="17"/>
  <c r="B15" i="17" s="1"/>
  <c r="E23" i="6"/>
  <c r="E24" i="6" s="1"/>
  <c r="B35" i="6" s="1"/>
  <c r="C34" i="6" s="1"/>
  <c r="A22" i="16"/>
  <c r="C8" i="17" l="1"/>
  <c r="C7" i="11" s="1"/>
  <c r="B14" i="9"/>
  <c r="B22" i="9" s="1"/>
  <c r="C7" i="10" s="1"/>
  <c r="B7" i="11"/>
  <c r="B24" i="17"/>
  <c r="C17" i="17"/>
  <c r="C16" i="17"/>
  <c r="D6" i="17"/>
  <c r="D6" i="11" s="1"/>
  <c r="C10" i="17"/>
  <c r="C15" i="17" s="1"/>
  <c r="B29" i="6"/>
  <c r="B12" i="17"/>
  <c r="B13" i="17" s="1"/>
  <c r="B14" i="17" s="1"/>
  <c r="B18" i="17" s="1"/>
  <c r="B19" i="9" l="1"/>
  <c r="B20" i="9"/>
  <c r="C51" i="11"/>
  <c r="C19" i="12"/>
  <c r="B21" i="9"/>
  <c r="B7" i="10" s="1"/>
  <c r="D17" i="17"/>
  <c r="D10" i="17"/>
  <c r="D15" i="17" s="1"/>
  <c r="A47" i="11"/>
  <c r="B29" i="11"/>
  <c r="C12" i="17"/>
  <c r="C13" i="17" s="1"/>
  <c r="C14" i="17" s="1"/>
  <c r="C18" i="17" s="1"/>
  <c r="E6" i="17"/>
  <c r="E6" i="11" s="1"/>
  <c r="D8" i="17"/>
  <c r="D7" i="11" s="1"/>
  <c r="D16" i="17"/>
  <c r="C27" i="9"/>
  <c r="C29" i="9" s="1"/>
  <c r="C31" i="9" s="1"/>
  <c r="B21" i="18"/>
  <c r="B27" i="17"/>
  <c r="B26" i="17"/>
  <c r="B51" i="11" l="1"/>
  <c r="B19" i="12"/>
  <c r="E17" i="17"/>
  <c r="E7" i="10"/>
  <c r="D7" i="10"/>
  <c r="B27" i="9"/>
  <c r="B29" i="9" s="1"/>
  <c r="B31" i="9" s="1"/>
  <c r="B50" i="9"/>
  <c r="D12" i="17"/>
  <c r="D13" i="17" s="1"/>
  <c r="D14" i="17" s="1"/>
  <c r="D18" i="17" s="1"/>
  <c r="F6" i="17"/>
  <c r="F16" i="17" s="1"/>
  <c r="C28" i="17" s="1"/>
  <c r="D28" i="17" s="1"/>
  <c r="E16" i="17"/>
  <c r="E8" i="17"/>
  <c r="E7" i="11" s="1"/>
  <c r="E10" i="17"/>
  <c r="E15" i="17" s="1"/>
  <c r="C21" i="18"/>
  <c r="C23" i="18" s="1"/>
  <c r="C29" i="11"/>
  <c r="B23" i="18"/>
  <c r="B51" i="9" l="1"/>
  <c r="C23" i="17"/>
  <c r="D23" i="17" s="1"/>
  <c r="A25" i="12"/>
  <c r="F8" i="17"/>
  <c r="F6" i="11"/>
  <c r="F17" i="17"/>
  <c r="F10" i="17"/>
  <c r="F15" i="17" s="1"/>
  <c r="E12" i="17"/>
  <c r="E13" i="17" s="1"/>
  <c r="E14" i="17" s="1"/>
  <c r="E18" i="17" s="1"/>
  <c r="E29" i="11" s="1"/>
  <c r="D21" i="18"/>
  <c r="D23" i="18" s="1"/>
  <c r="D29" i="11"/>
  <c r="F7" i="11" l="1"/>
  <c r="A26" i="12"/>
  <c r="F12" i="17"/>
  <c r="F13" i="17" s="1"/>
  <c r="F14" i="17" s="1"/>
  <c r="F18" i="17" s="1"/>
  <c r="A27" i="12" s="1"/>
  <c r="C24" i="17"/>
  <c r="D24" i="17" s="1"/>
  <c r="E21" i="18"/>
  <c r="E23" i="18" s="1"/>
  <c r="G47" i="11" l="1"/>
  <c r="F29" i="11"/>
  <c r="E47" i="11"/>
  <c r="C47" i="11"/>
  <c r="A57" i="11"/>
  <c r="D8" i="19"/>
  <c r="B10" i="19"/>
  <c r="B19" i="19" s="1"/>
  <c r="C9" i="19"/>
  <c r="B6" i="10" s="1"/>
  <c r="B18" i="12" s="1"/>
  <c r="B9" i="19"/>
  <c r="B18" i="19" s="1"/>
  <c r="D9" i="19"/>
  <c r="D7" i="19"/>
  <c r="D16" i="19" s="1"/>
  <c r="E10" i="19"/>
  <c r="E19" i="19" s="1"/>
  <c r="C7" i="19"/>
  <c r="C16" i="19" s="1"/>
  <c r="D10" i="19"/>
  <c r="D19" i="19" s="1"/>
  <c r="F10" i="19"/>
  <c r="F19" i="19" s="1"/>
  <c r="F8" i="19"/>
  <c r="F17" i="19" s="1"/>
  <c r="F6" i="19"/>
  <c r="F15" i="19" s="1"/>
  <c r="B8" i="19"/>
  <c r="B7" i="19"/>
  <c r="B16" i="19" s="1"/>
  <c r="E9" i="19"/>
  <c r="E18" i="19" s="1"/>
  <c r="D6" i="19"/>
  <c r="E8" i="19"/>
  <c r="C6" i="19"/>
  <c r="C15" i="19" s="1"/>
  <c r="E6" i="19"/>
  <c r="E15" i="19" s="1"/>
  <c r="C8" i="19"/>
  <c r="C17" i="19" s="1"/>
  <c r="F7" i="19"/>
  <c r="F16" i="19" s="1"/>
  <c r="F9" i="19"/>
  <c r="F18" i="19" s="1"/>
  <c r="E7" i="19"/>
  <c r="C6" i="10" s="1"/>
  <c r="C10" i="19"/>
  <c r="C19" i="19" s="1"/>
  <c r="B6" i="19"/>
  <c r="F21" i="18"/>
  <c r="C27" i="17"/>
  <c r="D27" i="17" s="1"/>
  <c r="C26" i="17"/>
  <c r="D26" i="17" s="1"/>
  <c r="A31" i="17"/>
  <c r="B40" i="17"/>
  <c r="B39" i="17"/>
  <c r="A31" i="19" l="1"/>
  <c r="C50" i="11"/>
  <c r="C18" i="12"/>
  <c r="B50" i="11"/>
  <c r="E6" i="10"/>
  <c r="C8" i="10"/>
  <c r="C20" i="12" s="1"/>
  <c r="B8" i="10"/>
  <c r="D6" i="10"/>
  <c r="E16" i="19"/>
  <c r="B43" i="19"/>
  <c r="B17" i="19"/>
  <c r="D18" i="19"/>
  <c r="B27" i="19"/>
  <c r="B42" i="19"/>
  <c r="D15" i="19"/>
  <c r="C18" i="19"/>
  <c r="B44" i="19"/>
  <c r="B25" i="19"/>
  <c r="B15" i="19"/>
  <c r="B39" i="19"/>
  <c r="E17" i="19"/>
  <c r="B28" i="19"/>
  <c r="D17" i="19"/>
  <c r="B24" i="19"/>
  <c r="F23" i="18"/>
  <c r="B7" i="18" s="1"/>
  <c r="B27" i="18"/>
  <c r="B28" i="18" s="1"/>
  <c r="B30" i="18" s="1"/>
  <c r="B50" i="18"/>
  <c r="B52" i="11" l="1"/>
  <c r="B20" i="12"/>
  <c r="E6" i="12"/>
  <c r="B49" i="10"/>
  <c r="C52" i="11"/>
  <c r="B32" i="10"/>
  <c r="B34" i="10" s="1"/>
  <c r="B52" i="10"/>
  <c r="D8" i="10"/>
  <c r="C32" i="10"/>
  <c r="C34" i="10" s="1"/>
  <c r="C36" i="10" s="1"/>
  <c r="E8" i="10"/>
  <c r="B50" i="10" s="1"/>
  <c r="B26" i="19"/>
  <c r="B8" i="18"/>
  <c r="B9" i="18" s="1"/>
  <c r="H8" i="10" l="1"/>
  <c r="A17" i="18"/>
  <c r="A42" i="18"/>
  <c r="B12" i="18"/>
  <c r="B14" i="18" s="1"/>
  <c r="G17" i="19" s="1"/>
  <c r="C53" i="11"/>
  <c r="C21" i="12"/>
  <c r="G8" i="10"/>
  <c r="B53" i="10"/>
  <c r="B36" i="10"/>
  <c r="H7" i="10"/>
  <c r="G7" i="10"/>
  <c r="H6" i="10"/>
  <c r="G6" i="10"/>
  <c r="B42" i="9"/>
  <c r="A34" i="9"/>
  <c r="B41" i="19"/>
  <c r="B36" i="18"/>
  <c r="B51" i="18"/>
  <c r="D17" i="18"/>
  <c r="B38" i="18"/>
  <c r="B31" i="18"/>
  <c r="A47" i="12" s="1"/>
  <c r="B37" i="18"/>
  <c r="A38" i="12" l="1"/>
  <c r="A11" i="12"/>
  <c r="B53" i="18"/>
  <c r="A28" i="12"/>
  <c r="C6" i="12"/>
  <c r="A6" i="12"/>
  <c r="B21" i="12"/>
  <c r="B53" i="11"/>
  <c r="D49" i="11" s="1"/>
  <c r="A41" i="10"/>
  <c r="B56" i="10"/>
  <c r="B54" i="10"/>
  <c r="G6" i="12"/>
  <c r="B52" i="18"/>
  <c r="C37" i="10" l="1"/>
  <c r="C38" i="10" s="1"/>
  <c r="B37" i="10"/>
  <c r="B38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Copilot</author>
  </authors>
  <commentList>
    <comment ref="C6" authorId="0" shapeId="0" xr:uid="{00000000-0006-0000-0800-000001000000}">
      <text>
        <r>
          <rPr>
            <sz val="10"/>
            <rFont val="Arial"/>
            <family val="2"/>
          </rPr>
          <t>Illustrative peer multiple. Refresh from Bloomberg, CapIQ, FactSet, Refinitiv, or latest annual/interim reports before live use.</t>
        </r>
      </text>
    </comment>
    <comment ref="C7" authorId="0" shapeId="0" xr:uid="{00000000-0006-0000-0800-000002000000}">
      <text>
        <r>
          <rPr>
            <sz val="10"/>
            <rFont val="Arial"/>
            <family val="2"/>
          </rPr>
          <t>Illustrative peer multiple. Refresh from Bloomberg, CapIQ, FactSet, Refinitiv, or latest annual/interim reports before live use.</t>
        </r>
      </text>
    </comment>
    <comment ref="C8" authorId="0" shapeId="0" xr:uid="{00000000-0006-0000-0800-000003000000}">
      <text>
        <r>
          <rPr>
            <sz val="10"/>
            <rFont val="Arial"/>
            <family val="2"/>
          </rPr>
          <t>Illustrative peer multiple. Refresh from Bloomberg, CapIQ, FactSet, Refinitiv, or latest annual/interim reports before live use.</t>
        </r>
      </text>
    </comment>
    <comment ref="C9" authorId="0" shapeId="0" xr:uid="{00000000-0006-0000-0800-000004000000}">
      <text>
        <r>
          <rPr>
            <sz val="10"/>
            <rFont val="Arial"/>
            <family val="2"/>
          </rPr>
          <t>Illustrative peer multiple. Refresh from Bloomberg, CapIQ, FactSet, Refinitiv, or latest annual/interim reports before live use.</t>
        </r>
      </text>
    </comment>
    <comment ref="C10" authorId="0" shapeId="0" xr:uid="{00000000-0006-0000-0800-000005000000}">
      <text>
        <r>
          <rPr>
            <sz val="10"/>
            <rFont val="Arial"/>
            <family val="2"/>
          </rPr>
          <t>Illustrative peer multiple. Refresh from Bloomberg, CapIQ, FactSet, Refinitiv, or latest annual/interim reports before live use.</t>
        </r>
      </text>
    </comment>
  </commentList>
</comments>
</file>

<file path=xl/sharedStrings.xml><?xml version="1.0" encoding="utf-8"?>
<sst xmlns="http://schemas.openxmlformats.org/spreadsheetml/2006/main" count="1125" uniqueCount="855">
  <si>
    <t>Joy Lorna</t>
  </si>
  <si>
    <t>Assumptions</t>
  </si>
  <si>
    <t>Selected scenario</t>
  </si>
  <si>
    <t>Base</t>
  </si>
  <si>
    <t>Model currency</t>
  </si>
  <si>
    <t>EUR millions</t>
  </si>
  <si>
    <t>Primary valuation WACC</t>
  </si>
  <si>
    <t>Terminal growth rate</t>
  </si>
  <si>
    <t>Blended DCF weight</t>
  </si>
  <si>
    <t>Blended Comps weight</t>
  </si>
  <si>
    <t>Driver</t>
  </si>
  <si>
    <t>FY2026E</t>
  </si>
  <si>
    <t>FY2027E</t>
  </si>
  <si>
    <t>FY2028E</t>
  </si>
  <si>
    <t>FY2029E</t>
  </si>
  <si>
    <t>FY2030E</t>
  </si>
  <si>
    <t>Revenue growth %</t>
  </si>
  <si>
    <t>EBITDA margin %</t>
  </si>
  <si>
    <t>D&amp;A (% revenue)</t>
  </si>
  <si>
    <t>CapEx (% revenue)</t>
  </si>
  <si>
    <t>Tax rate</t>
  </si>
  <si>
    <t>FY2025A Adjusted EBITDA</t>
  </si>
  <si>
    <t>Adjusted net debt / EBITDA</t>
  </si>
  <si>
    <t>Minority interests</t>
  </si>
  <si>
    <t>Illustrative</t>
  </si>
  <si>
    <t>Data_Raw</t>
  </si>
  <si>
    <t>Metric</t>
  </si>
  <si>
    <t>FY2023A</t>
  </si>
  <si>
    <t>FY2024A</t>
  </si>
  <si>
    <t>FY2025A</t>
  </si>
  <si>
    <t>Unit</t>
  </si>
  <si>
    <t>Source</t>
  </si>
  <si>
    <t>Source URL</t>
  </si>
  <si>
    <t>Notes</t>
  </si>
  <si>
    <t>Revenue</t>
  </si>
  <si>
    <t>EURm</t>
  </si>
  <si>
    <t>SES FY2025 Results / FY2024 Results</t>
  </si>
  <si>
    <t>https://www.ses.com/sites/default/files/2026-03/2603_FY2025%20Press%20Release_Final.pdf</t>
  </si>
  <si>
    <t>Adjusted EBITDA</t>
  </si>
  <si>
    <t>Adjusted EBITDA margin</t>
  </si>
  <si>
    <t>%</t>
  </si>
  <si>
    <t>n/a</t>
  </si>
  <si>
    <t>Adjusted Net Debt / EBITDA</t>
  </si>
  <si>
    <t>x</t>
  </si>
  <si>
    <t>Adjusted Free Cash Flow</t>
  </si>
  <si>
    <t>Capital Expenditure</t>
  </si>
  <si>
    <t>SES FY2025 Results</t>
  </si>
  <si>
    <t>Historicals</t>
  </si>
  <si>
    <t>n.m.</t>
  </si>
  <si>
    <t>Projections</t>
  </si>
  <si>
    <t>D&amp;A</t>
  </si>
  <si>
    <t>EBIT</t>
  </si>
  <si>
    <t>Tax on EBIT</t>
  </si>
  <si>
    <t>NOPAT</t>
  </si>
  <si>
    <t>FCFF</t>
  </si>
  <si>
    <t>WACC</t>
  </si>
  <si>
    <t>Equity risk premium</t>
  </si>
  <si>
    <t>Company-specific risk premium</t>
  </si>
  <si>
    <t>Target Debt / Value</t>
  </si>
  <si>
    <t>Target Equity / Value</t>
  </si>
  <si>
    <t>Peer</t>
  </si>
  <si>
    <t>Levered beta</t>
  </si>
  <si>
    <t>Unlevered beta</t>
  </si>
  <si>
    <t>Eutelsat Communications</t>
  </si>
  <si>
    <t>Iridium Communications</t>
  </si>
  <si>
    <t>Viasat Inc.</t>
  </si>
  <si>
    <t>Telesat Corporation</t>
  </si>
  <si>
    <t>EchoStar Corporation</t>
  </si>
  <si>
    <t>Average unlevered beta</t>
  </si>
  <si>
    <t>Relevered beta</t>
  </si>
  <si>
    <t>Cost of equity</t>
  </si>
  <si>
    <t>Pre-tax cost of debt</t>
  </si>
  <si>
    <t>After-tax cost of debt</t>
  </si>
  <si>
    <t>Formula</t>
  </si>
  <si>
    <t>Calculated WACC</t>
  </si>
  <si>
    <t>Primary valuation WACC used in DCF</t>
  </si>
  <si>
    <t>DCF</t>
  </si>
  <si>
    <t>Terminal growth</t>
  </si>
  <si>
    <t>Implied value per share</t>
  </si>
  <si>
    <t>Discount factor</t>
  </si>
  <si>
    <t>PV of FCFF</t>
  </si>
  <si>
    <t>Terminal FCFF</t>
  </si>
  <si>
    <t>Sensitivity</t>
  </si>
  <si>
    <t>Comparable Company Analysis</t>
  </si>
  <si>
    <t>Business rationale</t>
  </si>
  <si>
    <t>Yes</t>
  </si>
  <si>
    <t>Core low multiple</t>
  </si>
  <si>
    <t>Core high multiple</t>
  </si>
  <si>
    <t>Method</t>
  </si>
  <si>
    <t>Low EV</t>
  </si>
  <si>
    <t>High EV</t>
  </si>
  <si>
    <t>DCF sensitivity band</t>
  </si>
  <si>
    <t>Blended fair value range</t>
  </si>
  <si>
    <t>Charts</t>
  </si>
  <si>
    <t>Upside</t>
  </si>
  <si>
    <t>Downside</t>
  </si>
  <si>
    <t>Sources</t>
  </si>
  <si>
    <t>URL</t>
  </si>
  <si>
    <t>SES FY2025 Results PDF</t>
  </si>
  <si>
    <t>SES FY2024 Results Press Release</t>
  </si>
  <si>
    <t>https://www.ses.com/press-release/ses-full-year-2024-results</t>
  </si>
  <si>
    <t>https://www.ses.com/investors/financial-results</t>
  </si>
  <si>
    <t>https://www.ses.com/investors/annual-reports</t>
  </si>
  <si>
    <t>https://www.ses.com/press-release/ses-completes-acquisition-intelsat-creating-global-multi-orbit-connectivity</t>
  </si>
  <si>
    <t>SES shareholder information</t>
  </si>
  <si>
    <t>https://www.ses.com/investors/shareholder-information</t>
  </si>
  <si>
    <t>https://taxsummaries.pwc.com/luxembourg/corporate/taxes-on-corporate-income</t>
  </si>
  <si>
    <t>SES S.A. — Company Valuation</t>
  </si>
  <si>
    <t>DCF &amp; Comparable Company Analysis | Internal Investment Note</t>
  </si>
  <si>
    <t>TARGET</t>
  </si>
  <si>
    <t>SES S.A. (Euronext Paris / Luxembourg Stock Exchange)</t>
  </si>
  <si>
    <t>TICKER</t>
  </si>
  <si>
    <t>SESG</t>
  </si>
  <si>
    <t>PREPARED BY</t>
  </si>
  <si>
    <t>AS OF DATE</t>
  </si>
  <si>
    <t>ROLE / LANE</t>
  </si>
  <si>
    <t>Financial Analyst | Corporate Finance | Investment Analysis</t>
  </si>
  <si>
    <t>MODEL STATUS</t>
  </si>
  <si>
    <t>PROJECT OBJECTIVE</t>
  </si>
  <si>
    <t>Value a European mid-cap listed company using a five-year FCFF DCF and a five-peer comparable-company analysis. The model is designed as a decision-oriented internal investment note, with a defensible fair value range, a directional view, and transparent assumptions rather than false precision.</t>
  </si>
  <si>
    <t>DATA INTEGRITY</t>
  </si>
  <si>
    <t>WORKBOOK CONTENTS</t>
  </si>
  <si>
    <t>Scenario control and all editable operating and valuation drivers.</t>
  </si>
  <si>
    <t>Source-backed historical inputs and source references; source rows are not edited.</t>
  </si>
  <si>
    <t>Clean three-year actuals, trend diagnostics, and analytical commentary.</t>
  </si>
  <si>
    <t>Five-year operating forecast and FCFF build for FY2026E–FY2030E.</t>
  </si>
  <si>
    <t>Bottom-up beta, CAPM cost of equity, cost of debt, and target capital structure.</t>
  </si>
  <si>
    <t>Explicit FCFF discounting, Gordon Growth terminal value, and equity bridge.</t>
  </si>
  <si>
    <t>Two-variable enterprise-value analysis across WACC and terminal growth.</t>
  </si>
  <si>
    <t>Comps</t>
  </si>
  <si>
    <t>Five-peer EV/EBITDA and P/E framework with implied valuation ranges.</t>
  </si>
  <si>
    <t>Football_Field</t>
  </si>
  <si>
    <t>Reconciliation of DCF, comps, and blended valuation ranges.</t>
  </si>
  <si>
    <t>Presentation-ready operating and valuation visuals.</t>
  </si>
  <si>
    <t>Exec_Summary</t>
  </si>
  <si>
    <t>One-page investment memo with valuation conclusion, thesis, and risks.</t>
  </si>
  <si>
    <t>Source register, URLs, and notes distinguishing sourced data from judgement.</t>
  </si>
  <si>
    <t>IMPORTANT — EDUCATIONAL USE ONLY. This workbook is not investment advice. Market inputs identified as illustrative must be refreshed and independently verified before use in any real investment decision.</t>
  </si>
  <si>
    <t>Assumptions &amp; Scenario Control</t>
  </si>
  <si>
    <t>Central model inputs | Blue = hardcoded input • Black = formula • Green = source-linked value</t>
  </si>
  <si>
    <t>SCENARIO CONTROL</t>
  </si>
  <si>
    <t>Choose Base, Upside, or Downside; forecast and DCF inputs update automatically.</t>
  </si>
  <si>
    <t>All financial statements and valuation outputs, except per-share values and multiples.</t>
  </si>
  <si>
    <t>Selected-case discount rate used by the primary DCF.</t>
  </si>
  <si>
    <t>Selected-case long-term nominal growth rate for EUR FCFF.</t>
  </si>
  <si>
    <t>Methodology weight applied to the DCF valuation range.</t>
  </si>
  <si>
    <t>Methodology weight applied to the comparable-company range; weights must total 100%.</t>
  </si>
  <si>
    <t>SELECTED-CASE PROJECTION DRIVERS</t>
  </si>
  <si>
    <t>Investment rationale</t>
  </si>
  <si>
    <t>FY2026 follows management’s stable year-on-year outlook; thereafter Networks growth offsets structural Media pressure.</t>
  </si>
  <si>
    <t>Base case recovers toward, but remains below, the pre-merger standalone margin because the Intelsat mix remains dilutive.</t>
  </si>
  <si>
    <t>Elevated by the satellite asset base and acquisition accounting, then tapers as the purchase-price step-up amortises.</t>
  </si>
  <si>
    <t>FY2026 remains investment-heavy for IRIS² and meoSphere; capital intensity normalises as major build phases mature.</t>
  </si>
  <si>
    <t>A modest annual cash investment is applied consistently to reflect working-capital requirements.</t>
  </si>
  <si>
    <t>Luxembourg City’s 2025+ combined corporate rate of 23.87% is used as a simplifying proxy; SES’s group effective rate spans jurisdictions.</t>
  </si>
  <si>
    <t>VALUATION BRIDGE INPUTS</t>
  </si>
  <si>
    <t>Source-linked from SES FY2025 results via Data_Raw.</t>
  </si>
  <si>
    <t>Source-linked FY2025 combined like-for-like leverage.</t>
  </si>
  <si>
    <t>VALUATION SCENARIO LIBRARY — EDIT BLUE CELLS</t>
  </si>
  <si>
    <t>Scenario</t>
  </si>
  <si>
    <t>Case interpretation</t>
  </si>
  <si>
    <t>Balanced execution case: stable FY2026, gradual margin recovery, and measured deleveraging.</t>
  </si>
  <si>
    <t>Faster synergy capture and lower perceived risk support stronger cash conversion and a lower discount rate.</t>
  </si>
  <si>
    <t>Slower integration, persistent Media pressure, and elevated leverage increase execution risk.</t>
  </si>
  <si>
    <t>OPERATING SCENARIO LIBRARY — EDIT BLUE CELLS</t>
  </si>
  <si>
    <t>Source Data &amp; Provenance</t>
  </si>
  <si>
    <t>Controlled historical inputs | Source-backed values in green • Derived metrics in black • No illustrative valuation inputs on this tab</t>
  </si>
  <si>
    <t>HISTORICAL SOURCE DATA</t>
  </si>
  <si>
    <t>Source document</t>
  </si>
  <si>
    <t>Data status</t>
  </si>
  <si>
    <t>Source-backed</t>
  </si>
  <si>
    <t>Calculated from Revenue and Adjusted EBITDA</t>
  </si>
  <si>
    <t>Live calculation; not a pasted source value.</t>
  </si>
  <si>
    <t>Derived</t>
  </si>
  <si>
    <t>FY2025 combined like-for-like leverage; FY2023 is intentionally blank because no consistent model input is used.</t>
  </si>
  <si>
    <t>Included for context only; the valuation model uses its own FCFF construction.</t>
  </si>
  <si>
    <t>Historical investment reference; forecast CapEx is driver-based in Assumptions.</t>
  </si>
  <si>
    <t>KEY SOURCE-BACKED FACTS</t>
  </si>
  <si>
    <t>Fact</t>
  </si>
  <si>
    <t>Value</t>
  </si>
  <si>
    <t>Effective date</t>
  </si>
  <si>
    <t>Model use</t>
  </si>
  <si>
    <t>Analyst note</t>
  </si>
  <si>
    <t>Intelsat acquisition completion</t>
  </si>
  <si>
    <t>Completed</t>
  </si>
  <si>
    <t>Event</t>
  </si>
  <si>
    <t>Defines FY2025 as a transition/reporting-basis year.</t>
  </si>
  <si>
    <t>Intelsat is consolidated from the closing date; FY2025 is not a clean organic-growth year.</t>
  </si>
  <si>
    <t>FY2026 outlook</t>
  </si>
  <si>
    <t>Revenue outlook</t>
  </si>
  <si>
    <t>FY2026</t>
  </si>
  <si>
    <t>Listing venues</t>
  </si>
  <si>
    <t>Euronext Paris / Luxembourg Stock Exchange</t>
  </si>
  <si>
    <t>Equity listing</t>
  </si>
  <si>
    <t>Current model basis</t>
  </si>
  <si>
    <t>Confirms target identity and ticker context.</t>
  </si>
  <si>
    <t>Ticker used in the cover and investment memo: SESG.</t>
  </si>
  <si>
    <t>Luxembourg City combined corporate tax rate</t>
  </si>
  <si>
    <t>Tax year 2025+</t>
  </si>
  <si>
    <t>Simplifying tax proxy for forecast NOPAT and after-tax debt cost.</t>
  </si>
  <si>
    <t>DATA QUALITY CONTROLS</t>
  </si>
  <si>
    <t>Control</t>
  </si>
  <si>
    <t>Result</t>
  </si>
  <si>
    <t>Threshold / expectation</t>
  </si>
  <si>
    <t>Interpretation</t>
  </si>
  <si>
    <t>Revenue history complete</t>
  </si>
  <si>
    <t>EBITDA history complete</t>
  </si>
  <si>
    <t>Margins reconcile</t>
  </si>
  <si>
    <t>FY2025 leverage available</t>
  </si>
  <si>
    <t>Source URLs populated</t>
  </si>
  <si>
    <t>3 annual observations</t>
  </si>
  <si>
    <t>Difference below 0.01 percentage points</t>
  </si>
  <si>
    <t>Positive sourced multiple</t>
  </si>
  <si>
    <t>At least five populated source rows</t>
  </si>
  <si>
    <t>Supports the minimum three-year historical requirement.</t>
  </si>
  <si>
    <t>Supports margin and growth diagnostics.</t>
  </si>
  <si>
    <t>Confirms calculated margins are internally consistent.</t>
  </si>
  <si>
    <t>Feeds the enterprise-to-equity valuation bridge.</t>
  </si>
  <si>
    <t>Provides traceable source documentation inside the workbook.</t>
  </si>
  <si>
    <t>SES FY2025 Results PDF / SES FY2024 Results Release</t>
  </si>
  <si>
    <t>FY2025 reported revenue is €2,627m and includes Intelsat from 17 July 2025; the same official release presents FY2024 reported revenue of €2,001m. FY2023 remains the three-year comparison input.</t>
  </si>
  <si>
    <t>FY2025 reported Adjusted EBITDA is €1,196m; the same official release presents FY2024 reported Adjusted EBITDA of €1,028m. FY2023 remains the three-year comparison input.</t>
  </si>
  <si>
    <t>Stable year-on-year, like-for-like and constant FX</t>
  </si>
  <si>
    <t>Anchors Base-case FY2026 revenue growth at 0.0%; the outlook applies to both Revenue and Adjusted EBITDA on a like-for-like, constant-FX basis.</t>
  </si>
  <si>
    <t>The Base case follows management guidance; Upside and Downside cases deliberately test deviations from that outlook.</t>
  </si>
  <si>
    <t>PwC reports a 23.87% combined rate for a Luxembourg City company in the top bracket: 16% corporate income tax, 1.12% solidarity surtax, and 6.75% municipal business tax. SES’s group effective rate remains multi-jurisdictional.</t>
  </si>
  <si>
    <t>Verified against official SES sources on 19 August 2026.</t>
  </si>
  <si>
    <t>VERIFIED PRIMARY SOURCE REGISTER</t>
  </si>
  <si>
    <t>Authority</t>
  </si>
  <si>
    <t>Verified status</t>
  </si>
  <si>
    <t>Verified date</t>
  </si>
  <si>
    <t>Dataset coverage</t>
  </si>
  <si>
    <t>Workbook use</t>
  </si>
  <si>
    <t>Refresh trigger</t>
  </si>
  <si>
    <t>Verification note</t>
  </si>
  <si>
    <t>SES S.A.</t>
  </si>
  <si>
    <t>Verified</t>
  </si>
  <si>
    <t>2026-08-19T00:00:00.000Z</t>
  </si>
  <si>
    <t>FY2025 revenue €2,627m; Adjusted EBITDA €1,196m; reported-basis consolidation from 17 July 2025; FY2026 stable outlook; leverage and CapEx context.</t>
  </si>
  <si>
    <t>Primary historical dataset, outlook anchor, and valuation bridge.</t>
  </si>
  <si>
    <t>On publication of newer full-year results.</t>
  </si>
  <si>
    <t>Direct official PDF resolves and matches the model’s reported figures.</t>
  </si>
  <si>
    <t>FY2024 revenue €2,001m; Adjusted EBITDA €1,028m; net leverage 1.1x; backlog and transaction context.</t>
  </si>
  <si>
    <t>Historical cross-check and pre-transaction operating context.</t>
  </si>
  <si>
    <t>On restatement or superseding filing.</t>
  </si>
  <si>
    <t>Official SES release resolves and supports the FY2024 values used.</t>
  </si>
  <si>
    <t>SES Financial Results Hub</t>
  </si>
  <si>
    <t>Official statements, press releases, presentations, and transcripts by reporting period.</t>
  </si>
  <si>
    <t>Document-discovery hub and refresh workflow.</t>
  </si>
  <si>
    <t>At each quarterly or annual reporting event.</t>
  </si>
  <si>
    <t>Official hub resolves and includes FY2025, FY2024, and earlier reporting periods.</t>
  </si>
  <si>
    <t>SES Annual Reports</t>
  </si>
  <si>
    <t>2025 Annual Report, responsibility statement, official iXBRL, and report archive.</t>
  </si>
  <si>
    <t>Cap-table, minorities, accounting policies, and disclosure refresh.</t>
  </si>
  <si>
    <t>When a new annual report or filing is published.</t>
  </si>
  <si>
    <t>Official annual-report hub resolves and displays the 2025 Annual Report.</t>
  </si>
  <si>
    <t>SES Intelsat Completion Release</t>
  </si>
  <si>
    <t>Confirms acquisition completion on 17 July 2025 and strategic transaction context.</t>
  </si>
  <si>
    <t>Defines the FY2025 consolidation boundary and transition-year interpretation.</t>
  </si>
  <si>
    <t>Only if transaction disclosures are subsequently corrected.</t>
  </si>
  <si>
    <t>Official SES release resolves and confirms the completion date.</t>
  </si>
  <si>
    <t>PwC Luxembourg Corporate Tax Summary</t>
  </si>
  <si>
    <t>PwC Worldwide Tax Summaries</t>
  </si>
  <si>
    <t>Luxembourg City combined corporate income tax rate of 23.87% for the top bracket from 2025.</t>
  </si>
  <si>
    <t>Forecast tax proxy and after-tax cost-of-debt calculation.</t>
  </si>
  <si>
    <t>When Luxembourg tax legislation or municipal rates change.</t>
  </si>
  <si>
    <t>Live PwC page was last reviewed 31 July 2026 and supports the 23.87% rate.</t>
  </si>
  <si>
    <t>Primary source links verified</t>
  </si>
  <si>
    <t>6 requested official sources</t>
  </si>
  <si>
    <t>Confirms every requested source URL has been checked against its official live destination.</t>
  </si>
  <si>
    <t>Historical Performance &amp; Diagnostics</t>
  </si>
  <si>
    <t>Three-year reported performance linked to verified source data | EUR millions unless stated otherwise</t>
  </si>
  <si>
    <t>HISTORICAL OPERATING PERFORMANCE</t>
  </si>
  <si>
    <t>Trend diagnostic</t>
  </si>
  <si>
    <t>Analyst interpretation</t>
  </si>
  <si>
    <t>Reported revenue increased sharply in FY2025, but the acquisition-driven consolidation means this is not comparable organic growth.</t>
  </si>
  <si>
    <t>Reported EBITDA increased less quickly than revenue, indicating material dilution in the combined-company margin.</t>
  </si>
  <si>
    <t>The FY2025 margin reset is the central operating debate; the forecast assumes gradual recovery rather than an immediate return to 51%+.</t>
  </si>
  <si>
    <t>Leverage rose after the Intelsat transaction; valuation therefore uses a target capital structure and explicitly highlights deleveraging risk.</t>
  </si>
  <si>
    <t>Adjusted FCF declined year-on-year despite higher reported EBITDA, underscoring integration and investment demands.</t>
  </si>
  <si>
    <t>Capital expenditure remained broadly flat at an elevated level, consistent with a capital-intensive satellite infrastructure model.</t>
  </si>
  <si>
    <t>KEY HISTORICAL DIAGNOSTICS</t>
  </si>
  <si>
    <t>Reported revenue growth</t>
  </si>
  <si>
    <t>Reported EBITDA growth</t>
  </si>
  <si>
    <t>EBITDA margin change</t>
  </si>
  <si>
    <t>Leverage change</t>
  </si>
  <si>
    <t>FY2025 versus FY2024, reported basis; acquisition consolidation is the main driver.</t>
  </si>
  <si>
    <t>FY2025 versus FY2024, reported basis; growth lagged revenue as the blended margin compressed.</t>
  </si>
  <si>
    <t>FY2025 versus FY2024; the decline captures mix dilution and transition effects.</t>
  </si>
  <si>
    <t>FY2025 versus FY2024; the post-transaction balance sheet carries materially greater financial risk.</t>
  </si>
  <si>
    <t>STORY IN BRIEF</t>
  </si>
  <si>
    <t>MODELLING IMPLICATION</t>
  </si>
  <si>
    <t>Do not extrapolate the FY2023–FY2025 reported revenue CAGR as an organic run rate. The forecast instead begins with management’s stable FY2026 outlook, assumes a gradual recovery in EBITDA margin, and retains explicit sensitivity to discount-rate and terminal-growth uncertainty.</t>
  </si>
  <si>
    <t>Five-Year Operating Projection</t>
  </si>
  <si>
    <t>Selected-case forecast | FY2026E–FY2030E | Live drivers from Assumptions | EUR millions unless stated otherwise</t>
  </si>
  <si>
    <t>FORECAST INCOME STATEMENT &amp; FCFF BUILD</t>
  </si>
  <si>
    <t>Formula logic / valuation relevance</t>
  </si>
  <si>
    <t>Revenue growth</t>
  </si>
  <si>
    <t>EBITDA margin</t>
  </si>
  <si>
    <t>D&amp;A as % of revenue</t>
  </si>
  <si>
    <t>Add: D&amp;A</t>
  </si>
  <si>
    <t>Less: Capital expenditure</t>
  </si>
  <si>
    <t>Less: Change in NWC</t>
  </si>
  <si>
    <t>Prior-year revenue × (1 + selected-case growth). FY2026 begins from FY2025 reported revenue.</t>
  </si>
  <si>
    <t>Scenario-selected growth; Base case starts at 0.0% in line with management’s stable FY2026 outlook.</t>
  </si>
  <si>
    <t>Revenue × selected-case EBITDA margin.</t>
  </si>
  <si>
    <t>Gradual recovery tests Intelsat integration and synergy delivery.</t>
  </si>
  <si>
    <t>Revenue × D&amp;A assumption; shown as a deduction above EBIT.</t>
  </si>
  <si>
    <t>Purchase-price accounting and satellite depreciation taper gradually.</t>
  </si>
  <si>
    <t>Adjusted EBITDA less D&amp;A.</t>
  </si>
  <si>
    <t>EBIT × Luxembourg tax proxy; actual group tax spans jurisdictions.</t>
  </si>
  <si>
    <t>After-tax operating profit available before reinvestment.</t>
  </si>
  <si>
    <t>Non-cash D&amp;A is added back in the FCFF bridge.</t>
  </si>
  <si>
    <t>Capital-intensive reinvestment; major build activity normalises over time.</t>
  </si>
  <si>
    <t>Modest working-capital investment linked to revenue.</t>
  </si>
  <si>
    <t>Unlevered cash flow discounted in the DCF and used for terminal value.</t>
  </si>
  <si>
    <t>FORECAST DIAGNOSTICS</t>
  </si>
  <si>
    <t>Change / CAGR</t>
  </si>
  <si>
    <t>FCFF margin</t>
  </si>
  <si>
    <t>Capital expenditure / revenue</t>
  </si>
  <si>
    <t>Low-single-digit revenue growth reflects a mature infrastructure profile rather than a high-growth case.</t>
  </si>
  <si>
    <t>EBITDA growth outpaces revenue as the model assumes integration benefits and operating leverage.</t>
  </si>
  <si>
    <t>Margin recovery is meaningful but remains below the 51.4% FY2024 standalone level.</t>
  </si>
  <si>
    <t>FCFF scales materially as margins recover and capital intensity normalises.</t>
  </si>
  <si>
    <t>Cash conversion improves, reducing dependence on terminal-value assumptions over time.</t>
  </si>
  <si>
    <t>CapEx intensity declines as IRIS², meoSphere, and major fleet investment phases mature.</t>
  </si>
  <si>
    <t>FORECAST STORY IN BRIEF</t>
  </si>
  <si>
    <t>MODEL INTEGRITY CHECKS</t>
  </si>
  <si>
    <t>Check</t>
  </si>
  <si>
    <t>Expectation</t>
  </si>
  <si>
    <t>Scenario drivers linked</t>
  </si>
  <si>
    <t>FCFF bridge balances</t>
  </si>
  <si>
    <t>Forecast periods complete</t>
  </si>
  <si>
    <t>Terminal-year WACC spread positive</t>
  </si>
  <si>
    <t>All five annual drivers match the selected scenario.</t>
  </si>
  <si>
    <t>FCFF equals NOPAT + D&amp;A − CapEx − change in NWC.</t>
  </si>
  <si>
    <t>All 65 numeric forecast cells are populated.</t>
  </si>
  <si>
    <t>WACC must exceed terminal growth for a valid Gordon Growth calculation.</t>
  </si>
  <si>
    <t>Weighted Average Cost of Capital</t>
  </si>
  <si>
    <t>Bottom-up beta and target-capital-structure approach | Refreshable market inputs are explicitly identified</t>
  </si>
  <si>
    <t>COST OF EQUITY — CAPM PLUS EXECUTION-RISK PREMIUM</t>
  </si>
  <si>
    <t>Mature-market equity risk premium</t>
  </si>
  <si>
    <t>Analyst judgement for Intelsat integration, cash conversion, and deleveraging execution risk.</t>
  </si>
  <si>
    <t>Target structure used for valuation; avoids mechanically capitalising temporary post-transaction leverage.</t>
  </si>
  <si>
    <t>Formula: 1 − target Debt / Value.</t>
  </si>
  <si>
    <t>Source-linked Luxembourg City top-bracket proxy; SES’s effective rate spans several jurisdictions.</t>
  </si>
  <si>
    <t>BOTTOM-UP BETA</t>
  </si>
  <si>
    <t>Debt / Equity</t>
  </si>
  <si>
    <t>Input status</t>
  </si>
  <si>
    <t>Refresh note</t>
  </si>
  <si>
    <t>Refresh beta, market equity, debt, and marginal tax rate from Bloomberg, Capital IQ, FactSet, or current filings.</t>
  </si>
  <si>
    <t>Target Debt / Equity</t>
  </si>
  <si>
    <t>COST OF DEBT &amp; WACC RECONCILIATION</t>
  </si>
  <si>
    <t>Illustrative debt-cost input. Refresh using SES’s observable EUR bond yields / credit spread and current debt mix.</t>
  </si>
  <si>
    <t>Formula: pre-tax cost of debt × (1 − tax rate).</t>
  </si>
  <si>
    <t>Formula: Equity / Value × cost of equity + Debt / Value × after-tax cost of debt.</t>
  </si>
  <si>
    <t>WEIGHTED COMPONENT BRIDGE</t>
  </si>
  <si>
    <t>Equity weight</t>
  </si>
  <si>
    <t>Debt weight</t>
  </si>
  <si>
    <t>CAPM plus company-specific risk premium.</t>
  </si>
  <si>
    <t>Tax shield applied to the illustrative pre-tax debt cost.</t>
  </si>
  <si>
    <t>METHODOLOGY &amp; INVESTMENT INTERPRETATION</t>
  </si>
  <si>
    <t>Selected scenario WACC. The Base case rounds above the mechanical calculation to reflect input uncertainty.</t>
  </si>
  <si>
    <t>Bottom-up beta</t>
  </si>
  <si>
    <t>Target capital structure</t>
  </si>
  <si>
    <t>Selected WACC</t>
  </si>
  <si>
    <t>Key limitation</t>
  </si>
  <si>
    <t>Peer levered betas are unlevered using each peer’s D/E and tax rate, averaged, then relevered to SES’s target D/E.</t>
  </si>
  <si>
    <t>A 35% debt / 65% equity target reflects a normalised valuation structure rather than the temporary post-acquisition balance sheet.</t>
  </si>
  <si>
    <t>MODEL INTEGRITY &amp; REFRESH CONTROLS</t>
  </si>
  <si>
    <t>Capital weights sum to 100%</t>
  </si>
  <si>
    <t>Peer beta formulas complete</t>
  </si>
  <si>
    <t>After-tax debt cost valid</t>
  </si>
  <si>
    <t>Primary WACC exceeds terminal growth</t>
  </si>
  <si>
    <t>Primary WACC within sensitivity range</t>
  </si>
  <si>
    <t>Debt / Value plus Equity / Value equals 100%.</t>
  </si>
  <si>
    <t>All five peer unlevered betas calculate numerically.</t>
  </si>
  <si>
    <t>After-tax debt cost is positive and below pre-tax cost.</t>
  </si>
  <si>
    <t>Required for a valid Gordon Growth terminal value.</t>
  </si>
  <si>
    <t>Selected WACC lies inside the ±1.0 percentage-point sensitivity range.</t>
  </si>
  <si>
    <t>REFRESH REFERENCES</t>
  </si>
  <si>
    <t>https://www.ecb.europa.eu/stats/financial_markets_and_interest_rates/euro_area_yield_curves/html/index.en.html</t>
  </si>
  <si>
    <t>https://www.ses.com/investors/debtholder-information</t>
  </si>
  <si>
    <t>Market-based mature-market proxy: Damodaran’s 4.23% implied equity risk premium, January 2026 update.</t>
  </si>
  <si>
    <t>The risk-free rate and ERP are now source-based snapshots, but peer betas, D/E ratios, company-specific premium, and pre-tax debt cost remain refreshable modelling inputs.</t>
  </si>
  <si>
    <t>Input classification</t>
  </si>
  <si>
    <t>As-of / status</t>
  </si>
  <si>
    <t>Risk-free rate</t>
  </si>
  <si>
    <t>German Federal bond / Bundesbank reference data</t>
  </si>
  <si>
    <t>Damodaran implied ERP</t>
  </si>
  <si>
    <t>Peer beta set</t>
  </si>
  <si>
    <t>Refresh from approved market-data platform</t>
  </si>
  <si>
    <t>Refresh from SES observable debt yields</t>
  </si>
  <si>
    <t>Market inputs dated and sourced</t>
  </si>
  <si>
    <t>Risk-free rate and ERP match the documented market snapshots.</t>
  </si>
  <si>
    <t>Market-data control</t>
  </si>
  <si>
    <t>ECB euro-area yield curves — secondary cross-check</t>
  </si>
  <si>
    <t>SES debtholder information — debt-cost refresh reference</t>
  </si>
  <si>
    <t>Discounted Cash Flow Valuation</t>
  </si>
  <si>
    <t>FCFF-based enterprise valuation | Gordon Growth terminal value | Selected-case assumptions | EUR millions unless stated otherwise</t>
  </si>
  <si>
    <t>DCF OUTPUT SUMMARY</t>
  </si>
  <si>
    <t>PV of explicit FCFF</t>
  </si>
  <si>
    <t>PV of terminal value</t>
  </si>
  <si>
    <t>Enterprise value</t>
  </si>
  <si>
    <t>Less: Adjusted net debt</t>
  </si>
  <si>
    <t>Less: Minority interests</t>
  </si>
  <si>
    <t>Equity value</t>
  </si>
  <si>
    <t>Selected scenario discount rate from Assumptions.</t>
  </si>
  <si>
    <t>Selected scenario long-term nominal FCFF growth rate.</t>
  </si>
  <si>
    <t>Present value of FY2026E–FY2030E FCFF.</t>
  </si>
  <si>
    <t>Present value of the Gordon Growth terminal value.</t>
  </si>
  <si>
    <t>Enterprise value before net debt and minority interests.</t>
  </si>
  <si>
    <t>FY2025 leverage × FY2025 Adjusted EBITDA; source-linked inputs.</t>
  </si>
  <si>
    <t>DISCOUNTED FCFF FORECAST</t>
  </si>
  <si>
    <t>Formula logic</t>
  </si>
  <si>
    <t>Linked from the selected-case projection.</t>
  </si>
  <si>
    <t>1 ÷ (1 + WACC)^year.</t>
  </si>
  <si>
    <t>FCFF × discount factor.</t>
  </si>
  <si>
    <t>TERMINAL VALUE</t>
  </si>
  <si>
    <t>Terminal value at FY2030</t>
  </si>
  <si>
    <t>Terminal discount factor</t>
  </si>
  <si>
    <t>Terminal value as % of EV</t>
  </si>
  <si>
    <t>FY2030 FCFF × (1 + terminal growth).</t>
  </si>
  <si>
    <t>Terminal FCFF ÷ (WACC − terminal growth).</t>
  </si>
  <si>
    <t>FY2030 discount factor, carried from the explicit forecast.</t>
  </si>
  <si>
    <t>Terminal value × terminal discount factor.</t>
  </si>
  <si>
    <t>Measures dependence on cash flows beyond the explicit forecast period.</t>
  </si>
  <si>
    <t>VALUATION DIAGNOSTICS</t>
  </si>
  <si>
    <t>Diagnostic</t>
  </si>
  <si>
    <t>Explicit FCFF contribution</t>
  </si>
  <si>
    <t>Terminal value contribution</t>
  </si>
  <si>
    <t>Net debt and minorities / EV</t>
  </si>
  <si>
    <t>WACC less terminal growth</t>
  </si>
  <si>
    <t>Only the first five forecast years; the remaining value is captured in the terminal period.</t>
  </si>
  <si>
    <t>High, but consistent with a long-duration, low-growth infrastructure asset; sensitivity is therefore essential.</t>
  </si>
  <si>
    <t>Shows how post-transaction leverage materially reduces enterprise value available to equity holders.</t>
  </si>
  <si>
    <t>A positive spread is required for the Gordon Growth formula; smaller spreads increase valuation sensitivity.</t>
  </si>
  <si>
    <t>VALUATION STORY IN BRIEF</t>
  </si>
  <si>
    <t>MODEL INTEGRITY &amp; JUDGEMENT CONTROLS</t>
  </si>
  <si>
    <t>WACC exceeds terminal growth</t>
  </si>
  <si>
    <t>Explicit FCFF links complete</t>
  </si>
  <si>
    <t>Enterprise value bridge balances</t>
  </si>
  <si>
    <t>Equity bridge balances</t>
  </si>
  <si>
    <t>Terminal value share reasonable</t>
  </si>
  <si>
    <t>Per-share value uses positive share count</t>
  </si>
  <si>
    <t>Required for a mathematically valid Gordon Growth terminal value.</t>
  </si>
  <si>
    <t>Five years of FCFF are linked from Projections.</t>
  </si>
  <si>
    <t>Enterprise value equals explicit-period PV plus terminal-value PV.</t>
  </si>
  <si>
    <t>Equity value equals enterprise value less net debt and minorities.</t>
  </si>
  <si>
    <t>The model flags terminal value above 85% of EV for heightened review.</t>
  </si>
  <si>
    <t>Prevents division by zero and confirms a usable equity bridge.</t>
  </si>
  <si>
    <t>DCF Sensitivity Analysis</t>
  </si>
  <si>
    <t>Two-variable analysis of WACC and terminal growth | Enterprise value and indicative equity value per share</t>
  </si>
  <si>
    <t>ENTERPRISE VALUE SENSITIVITY (€m)</t>
  </si>
  <si>
    <t>WACC  Terminal growth</t>
  </si>
  <si>
    <t>WACC interpretation</t>
  </si>
  <si>
    <t>6.2%: low discount-rate case; values are most exposed to terminal-growth optimism.</t>
  </si>
  <si>
    <t>6.7%: lower-risk case within the model’s sensitivity range.</t>
  </si>
  <si>
    <t>7.2%: selected Base-case WACC; the 1.5% column is the primary DCF point.</t>
  </si>
  <si>
    <t>7.7%: execution-risk case used in the lower DCF football-field anchor.</t>
  </si>
  <si>
    <t>8.2%: high discount-rate stress case.</t>
  </si>
  <si>
    <t>INDICATIVE EQUITY VALUE PER SHARE (€)</t>
  </si>
  <si>
    <t>Equity interpretation</t>
  </si>
  <si>
    <t>Shows how lower discount rates amplify equity value after fixed debt deductions.</t>
  </si>
  <si>
    <t>Higher WACC compresses equity value more sharply because debt remains fixed.</t>
  </si>
  <si>
    <t>Stress case highlights the downside asymmetry created by leverage.</t>
  </si>
  <si>
    <t>SENSITIVITY DIAGNOSTICS</t>
  </si>
  <si>
    <t>Unit / comparison</t>
  </si>
  <si>
    <t>Base-case enterprise value</t>
  </si>
  <si>
    <t>Full-grid EV range</t>
  </si>
  <si>
    <t>Full-grid per-share range</t>
  </si>
  <si>
    <t>+0.5 pp WACC impact at 1.5% g</t>
  </si>
  <si>
    <t>+0.5 pp terminal growth impact at 7.2% WACC</t>
  </si>
  <si>
    <t>Selected 7.2% WACC / 1.5% terminal growth</t>
  </si>
  <si>
    <t>Maximum minus minimum across all 25 EV cases</t>
  </si>
  <si>
    <t>Maximum minus minimum across all 25 indicative share-price cases</t>
  </si>
  <si>
    <t>EV change from 7.2% to 7.7% WACC</t>
  </si>
  <si>
    <t>EV change from 1.5% to 2.0% terminal growth</t>
  </si>
  <si>
    <t>The centre point reconciles directly to the DCF enterprise value.</t>
  </si>
  <si>
    <t>The broad range demonstrates that terminal-value assumptions dominate apparent precision.</t>
  </si>
  <si>
    <t>Leverage increases the sensitivity of equity value relative to enterprise value.</t>
  </si>
  <si>
    <t>A modest increase in the discount rate causes a meaningful valuation decline.</t>
  </si>
  <si>
    <t>A modest increase in terminal growth produces a material valuation uplift.</t>
  </si>
  <si>
    <t>READING THE SENSITIVITY</t>
  </si>
  <si>
    <t>MODEL INTEGRITY &amp; RANGE CONTROLS</t>
  </si>
  <si>
    <t>All EV cases valid</t>
  </si>
  <si>
    <t>Base case reconciles to DCF</t>
  </si>
  <si>
    <t>EV decreases as WACC rises</t>
  </si>
  <si>
    <t>EV increases as terminal growth rises</t>
  </si>
  <si>
    <t>Football-field anchors valid</t>
  </si>
  <si>
    <t>All 25 enterprise-value cases calculate numerically.</t>
  </si>
  <si>
    <t>Every matrix WACC is greater than every terminal-growth assumption.</t>
  </si>
  <si>
    <t>The 7.2% / 1.5% centre point equals the primary DCF EV.</t>
  </si>
  <si>
    <t>At 1.5% terminal growth, EV falls monotonically as WACC rises.</t>
  </si>
  <si>
    <t>At 7.2% WACC, EV rises monotonically as terminal growth increases.</t>
  </si>
  <si>
    <t>The selected lower and upper DCF range anchors are positive and ordered.</t>
  </si>
  <si>
    <t>Formula completeness</t>
  </si>
  <si>
    <t>Gordon Growth validity</t>
  </si>
  <si>
    <t>DCF reconciliation</t>
  </si>
  <si>
    <t>Directional sanity check</t>
  </si>
  <si>
    <t>Football-field reconciliation</t>
  </si>
  <si>
    <t>Five listed satellite and connectivity peers | EV/EBITDA is the primary valuation multiple | Market multiples remain illustrative until refreshed</t>
  </si>
  <si>
    <t>PEER SET &amp; MULTIPLE INPUTS</t>
  </si>
  <si>
    <t>Country / ticker</t>
  </si>
  <si>
    <t>EV / EBITDA</t>
  </si>
  <si>
    <t>Core range?</t>
  </si>
  <si>
    <t>Official refresh source</t>
  </si>
  <si>
    <t>France / ETL</t>
  </si>
  <si>
    <t>Closest European listed satellite peer; integrated GEO and OneWeb LEO exposure with video, government, and connectivity operations.</t>
  </si>
  <si>
    <t>https://www.eutelsat.com/investors/investors</t>
  </si>
  <si>
    <t>US / IRDM</t>
  </si>
  <si>
    <t>Global LEO connectivity operator with recurring service revenue and a more asset-efficient cash-flow profile; treated as a premium outlier.</t>
  </si>
  <si>
    <t>No — premium outlier</t>
  </si>
  <si>
    <t>https://investor.iridium.com/</t>
  </si>
  <si>
    <t>US / VSAT</t>
  </si>
  <si>
    <t>Global satellite broadband, mobility, and government connectivity operator with high capital intensity.</t>
  </si>
  <si>
    <t>https://investors.viasat.com/</t>
  </si>
  <si>
    <t>Canada / TSAT</t>
  </si>
  <si>
    <t>GEO operator developing the Lightspeed LEO network; relevant transition and capital-intensity profile.</t>
  </si>
  <si>
    <t>https://www.telesat.com/investor-relations/financial-results/</t>
  </si>
  <si>
    <t>US / ECHO</t>
  </si>
  <si>
    <t>Diversified satellite, broadband, wireless, and content-delivery group; earnings comparability is affected by business mix.</t>
  </si>
  <si>
    <t>https://ir.echostar.com/financial-information/quarterly-results</t>
  </si>
  <si>
    <t>IMPLIED ENTERPRISE VALUE</t>
  </si>
  <si>
    <t>FY2026E Adjusted EBITDA</t>
  </si>
  <si>
    <t>Peer median EV / EBITDA</t>
  </si>
  <si>
    <t>Peer mean — core set</t>
  </si>
  <si>
    <t>Implied EV — median</t>
  </si>
  <si>
    <t>Implied EV — core mean</t>
  </si>
  <si>
    <t>Comps EV range — low</t>
  </si>
  <si>
    <t>Comps EV range — high</t>
  </si>
  <si>
    <t>Selected-case FY2026E EBITDA from Projections.</t>
  </si>
  <si>
    <t>Median of the four core peers; excludes Iridium’s premium multiple.</t>
  </si>
  <si>
    <t>Arithmetic mean of the four core peers.</t>
  </si>
  <si>
    <t>Analyst-selected lower bound; above Eutelsat’s distressed/low-end input.</t>
  </si>
  <si>
    <t>Analyst-selected upper bound; below Iridium’s premium outlier.</t>
  </si>
  <si>
    <t>FY2026E EBITDA × core-peer median.</t>
  </si>
  <si>
    <t>FY2026E EBITDA × core-peer mean.</t>
  </si>
  <si>
    <t>FY2026E EBITDA × 5.0x.</t>
  </si>
  <si>
    <t>FY2026E EBITDA × 7.5x.</t>
  </si>
  <si>
    <t>COMPS EQUITY VALUE BRIDGE</t>
  </si>
  <si>
    <t>Low case</t>
  </si>
  <si>
    <t>High case</t>
  </si>
  <si>
    <t>Less: Adjusted net debt and minorities</t>
  </si>
  <si>
    <t>Indicative value per share</t>
  </si>
  <si>
    <t>Core EV/EBITDA valuation range.</t>
  </si>
  <si>
    <t>Fixed valuation bridge using current model net debt and minority interests.</t>
  </si>
  <si>
    <t>Residual value attributable to ordinary equity.</t>
  </si>
  <si>
    <t>ANALYTICAL INTERPRETATION</t>
  </si>
  <si>
    <t>PEER-SET DIAGNOSTICS</t>
  </si>
  <si>
    <t>Comparison</t>
  </si>
  <si>
    <t>Core-peer multiple spread</t>
  </si>
  <si>
    <t>DCF premium to comps midpoint</t>
  </si>
  <si>
    <t>Iridium premium to core median</t>
  </si>
  <si>
    <t>Highest minus lowest core-peer EV/EBITDA</t>
  </si>
  <si>
    <t>DCF EV versus midpoint of the core comps range</t>
  </si>
  <si>
    <t>Iridium EV/EBITDA versus core-peer median</t>
  </si>
  <si>
    <t>Shows dispersion even before adding the premium outlier.</t>
  </si>
  <si>
    <t>Quantifies the central valuation tension between intrinsic value and market comparables.</t>
  </si>
  <si>
    <t>Supports excluding Iridium from the core range while retaining it as a relevant premium reference.</t>
  </si>
  <si>
    <t>Five peers included</t>
  </si>
  <si>
    <t>Four peers in core statistics</t>
  </si>
  <si>
    <t>Core range ordered</t>
  </si>
  <si>
    <t>Implied EV formulas complete</t>
  </si>
  <si>
    <t>Equity bridge remains positive</t>
  </si>
  <si>
    <t>Official refresh links populated</t>
  </si>
  <si>
    <t>The analysis includes exactly five listed peers.</t>
  </si>
  <si>
    <t>Median and mean use four core peers and exclude Iridium.</t>
  </si>
  <si>
    <t>The selected low multiple is below the selected high multiple.</t>
  </si>
  <si>
    <t>Median, mean, low, and high implied EV outputs all calculate.</t>
  </si>
  <si>
    <t>Both equity-value endpoints are positive and correctly ordered.</t>
  </si>
  <si>
    <t>Each peer has a usable official investor-relations source.</t>
  </si>
  <si>
    <t>Completeness</t>
  </si>
  <si>
    <t>Outlier methodology</t>
  </si>
  <si>
    <t>Range validity</t>
  </si>
  <si>
    <t>Equity bridge</t>
  </si>
  <si>
    <t>Source refresh</t>
  </si>
  <si>
    <t>VALUATION RANGE SOURCE TABLE</t>
  </si>
  <si>
    <t>Weight / methodology</t>
  </si>
  <si>
    <t>Low vs Base DCF</t>
  </si>
  <si>
    <t>High vs Base DCF</t>
  </si>
  <si>
    <t>Comps EV / EBITDA core range</t>
  </si>
  <si>
    <t>BLENDED EQUITY VALUE PER SHARE BRIDGE</t>
  </si>
  <si>
    <t>Blended enterprise value</t>
  </si>
  <si>
    <t>DCF value per share</t>
  </si>
  <si>
    <t>Position versus DCF</t>
  </si>
  <si>
    <t>Weighted reconciliation of DCF and comparable-company enterprise-value ranges.</t>
  </si>
  <si>
    <t>Primary blended fair-value range used in the investment memo.</t>
  </si>
  <si>
    <t>Base-case DCF point estimate for comparison.</t>
  </si>
  <si>
    <t>Quantifies the blended range discount or premium to the DCF point estimate.</t>
  </si>
  <si>
    <t>VALUATION RECONCILIATION</t>
  </si>
  <si>
    <t>MODEL INTEGRITY &amp; CHART CONTROLS</t>
  </si>
  <si>
    <t>All valuation ranges ordered</t>
  </si>
  <si>
    <t>Visible ranges positive</t>
  </si>
  <si>
    <t>Blend weights sum to 100%</t>
  </si>
  <si>
    <t>Blended range lies between methods</t>
  </si>
  <si>
    <t>Per-share range ordered</t>
  </si>
  <si>
    <t>Low is below high for DCF, comps, and blended ranges.</t>
  </si>
  <si>
    <t>Each floating bar has a positive visible width.</t>
  </si>
  <si>
    <t>DCF and comps weights total exactly 100%.</t>
  </si>
  <si>
    <t>Each blended endpoint lies between the corresponding method endpoints.</t>
  </si>
  <si>
    <t>Equity value equals enterprise value less bridge deductions.</t>
  </si>
  <si>
    <t>Indicative low and high per-share values are positive and ordered.</t>
  </si>
  <si>
    <t>Chart binding</t>
  </si>
  <si>
    <t>Weighting control</t>
  </si>
  <si>
    <t>Blending logic</t>
  </si>
  <si>
    <t>Memo output</t>
  </si>
  <si>
    <t>Chart start</t>
  </si>
  <si>
    <t>Range width</t>
  </si>
  <si>
    <t>Valuation Football Field — SES S.A.</t>
  </si>
  <si>
    <t>Defined band: 7.7% WACC / 1.0% g (low) to 6.7% WACC / 2.0% g (high).</t>
  </si>
  <si>
    <t>5.0x–7.5x applied to FY2026E Adjusted EBITDA; peer multiples remain illustrative.</t>
  </si>
  <si>
    <t>Live market EV reference included</t>
  </si>
  <si>
    <t>NOT INCLUDED</t>
  </si>
  <si>
    <t>Requires validated current market capitalization and net debt.</t>
  </si>
  <si>
    <t>Data gap — method comparison only.</t>
  </si>
  <si>
    <t>Core output cells numeric</t>
  </si>
  <si>
    <t>DCF, comps, blended EV, and per-share outputs must remain numeric.</t>
  </si>
  <si>
    <t>Formula integrity</t>
  </si>
  <si>
    <t>SES S.A. — Operating &amp; Valuation Charts</t>
  </si>
  <si>
    <t>OPERATING FORECAST — REVENUE AND ADJUSTED EBITDA</t>
  </si>
  <si>
    <t>CASH FLOW CONVERSION — FCFF PROFILE</t>
  </si>
  <si>
    <t>VALUATION RANGE SNAPSHOT</t>
  </si>
  <si>
    <t>ANALYST TAKEAWAYS</t>
  </si>
  <si>
    <t>FY2026E FCFF</t>
  </si>
  <si>
    <t>FY2030E FCFF</t>
  </si>
  <si>
    <t>FCFF CAGR</t>
  </si>
  <si>
    <t>FCFF margin uplift</t>
  </si>
  <si>
    <t>DCF sensitivity</t>
  </si>
  <si>
    <t>Comps EV / EBITDA</t>
  </si>
  <si>
    <t>Blended fair value</t>
  </si>
  <si>
    <t>Indicative blended value per share</t>
  </si>
  <si>
    <t>SES S.A. — Executive Investment Summary</t>
  </si>
  <si>
    <t>INVESTMENT VIEW</t>
  </si>
  <si>
    <t>DIRECTIONAL VIEW</t>
  </si>
  <si>
    <t>BLENDED FAIR VALUE</t>
  </si>
  <si>
    <t>BLENDED ENTERPRISE VALUE</t>
  </si>
  <si>
    <t>BASE DCF VALUE</t>
  </si>
  <si>
    <t>BUSINESS SUMMARY &amp; RECOMMENDATION RATIONALE</t>
  </si>
  <si>
    <t>VALUATION SNAPSHOT</t>
  </si>
  <si>
    <t>Low</t>
  </si>
  <si>
    <t>High</t>
  </si>
  <si>
    <t>Fundamentals-based range; highly sensitive to WACC and terminal growth.</t>
  </si>
  <si>
    <t>Public-market cross-check using illustrative 5.0x–7.5x multiples.</t>
  </si>
  <si>
    <t>Current market reference</t>
  </si>
  <si>
    <t>Not refreshed</t>
  </si>
  <si>
    <t>No validated live share price or market EV is included; recommendation remains conditional.</t>
  </si>
  <si>
    <t>KEY INVESTMENT FINDINGS</t>
  </si>
  <si>
    <t>UPSIDE CATALYSTS</t>
  </si>
  <si>
    <t>DOWNSIDE RISKS</t>
  </si>
  <si>
    <t>• Faster Intelsat integration and synergy delivery
• Sustained Government, mobility, and aviation growth
• Sovereign connectivity contract wins
• Deleveraging toward investment-grade metrics
• Earlier CapEx normalisation and stronger cash returns</t>
  </si>
  <si>
    <t>• Slower deleveraging or weaker cash conversion
• Accelerating Media revenue erosion
• LEO constellation pricing and capacity pressure
• Integration, restructuring, or execution slippage
• Satellite launch, deployment, or in-orbit health risk</t>
  </si>
  <si>
    <t>DATA INTEGRITY &amp; NEXT ACTION</t>
  </si>
  <si>
    <t>Model conclusion: SES offers meaningful integration and cash-conversion optionality, but leverage and execution risk justify a conditional—not unconditional—positive stance.</t>
  </si>
  <si>
    <t>SES S.A. — Sources, Provenance &amp; Refresh Register</t>
  </si>
  <si>
    <t>Official-source hierarchy for historical facts, valuation assumptions, and required market-data refreshes | URLs shown as plain text</t>
  </si>
  <si>
    <t>PRIMARY DATASET &amp; OFFICIAL SOURCE LINKS</t>
  </si>
  <si>
    <t>Key facts supported</t>
  </si>
  <si>
    <t>Model location / use</t>
  </si>
  <si>
    <t>SES FY2025 Results — official release page</t>
  </si>
  <si>
    <t>https://www.ses.com/news/press-release/full-year-2025-results</t>
  </si>
  <si>
    <t>Validated 19 Aug 2026</t>
  </si>
  <si>
    <t>Data_Raw source table and evidence trail</t>
  </si>
  <si>
    <t>SES Full Year 2024 Results</t>
  </si>
  <si>
    <t>Data_Raw FY2024 actuals; Historicals</t>
  </si>
  <si>
    <t>Refresh control and document discovery</t>
  </si>
  <si>
    <t>SES Completes Acquisition of Intelsat</t>
  </si>
  <si>
    <t>Confirms acquisition completion on 17 July 2025 and establishes the Intelsat consolidation date.</t>
  </si>
  <si>
    <t>Data_Raw key facts; historical-period interpretation</t>
  </si>
  <si>
    <t>SOURCE-USE NOTES &amp; ACCURACY CONTROLS</t>
  </si>
  <si>
    <t>Status</t>
  </si>
  <si>
    <t>Official sources prioritized</t>
  </si>
  <si>
    <t>PASS</t>
  </si>
  <si>
    <t>SES releases, PDFs, and investor-relations hubs are the primary evidence base; third-party aggregators are not treated as authoritative.</t>
  </si>
  <si>
    <t>FY2025 actuals reconcile</t>
  </si>
  <si>
    <t>Revenue €2,627m and Adjusted EBITDA €1,196m reconcile to Data_Raw, Historicals, Assumptions, and valuation outputs.</t>
  </si>
  <si>
    <t>FY2024 actuals reconcile</t>
  </si>
  <si>
    <t>Revenue €2,001m, Adjusted EBITDA €1,028m, and leverage 1.1x reconcile to the model.</t>
  </si>
  <si>
    <t>Intelsat completion date consistent</t>
  </si>
  <si>
    <t>17 July 2025 is used consistently to explain FY2025 as a transition and partial-consolidation year.</t>
  </si>
  <si>
    <t>Tax proxy applied correctly</t>
  </si>
  <si>
    <t>23.87% is the Luxembourg City 2025+ combined rate; the workbook explicitly notes that SES operates across multiple jurisdictions.</t>
  </si>
  <si>
    <t>Live market reference included</t>
  </si>
  <si>
    <t>ILLUSTRATIVE INPUTS — REFRESH BEFORE LIVE USE</t>
  </si>
  <si>
    <t>Input</t>
  </si>
  <si>
    <t>Required refresh source</t>
  </si>
  <si>
    <t>Peer betas and debt / equity</t>
  </si>
  <si>
    <t>Illustrative five-peer inputs</t>
  </si>
  <si>
    <t>Bloomberg, Capital IQ, FactSet, Refinitiv, or current filings</t>
  </si>
  <si>
    <t>Pre-tax cost of debt / credit spread</t>
  </si>
  <si>
    <t>Observable SES EUR bond yields, debt notes, and market credit data</t>
  </si>
  <si>
    <t>Peer EV / EBITDA and P / E</t>
  </si>
  <si>
    <t>Bloomberg, Capital IQ, FactSet, Refinitiv, or latest filings</t>
  </si>
  <si>
    <t>Current share price and market EV</t>
  </si>
  <si>
    <t>Not included</t>
  </si>
  <si>
    <t>FY2027–FY2030 operating drivers</t>
  </si>
  <si>
    <t>Analyst judgement by scenario</t>
  </si>
  <si>
    <t>Management updates, consensus, filings, and sector research</t>
  </si>
  <si>
    <t>REFRESH PROTOCOL</t>
  </si>
  <si>
    <t>Step</t>
  </si>
  <si>
    <t>Required action</t>
  </si>
  <si>
    <t>Evidence retained</t>
  </si>
  <si>
    <t>Workbook update</t>
  </si>
  <si>
    <t>Update WACC and Comps inputs</t>
  </si>
  <si>
    <t>Annual-report note references</t>
  </si>
  <si>
    <t>Update Assumptions and all equity bridges</t>
  </si>
  <si>
    <t>Refresh management guidance and forecast drivers after each results release.</t>
  </si>
  <si>
    <t>Official release, presentation, and transcript</t>
  </si>
  <si>
    <t>Update Assumptions scenario library</t>
  </si>
  <si>
    <t>Re-run controls and compare the validated market price with the fair-value range.</t>
  </si>
  <si>
    <t>PASS controls and dated review note</t>
  </si>
  <si>
    <t>Update Football_Field and Exec_Summary recommendation</t>
  </si>
  <si>
    <t>Type / date</t>
  </si>
  <si>
    <t>Verification / classification</t>
  </si>
  <si>
    <t>Official results | FY2025 / Mar 2026</t>
  </si>
  <si>
    <t>Revenue €2,627m; Adjusted EBITDA €1,196m; leverage 3.9x; FY2026 stable outlook; CapEx and integration context.</t>
  </si>
  <si>
    <t>Data_Raw; Assumptions; Projections; DCF</t>
  </si>
  <si>
    <t>Validated 19 Aug 2026 | Source-backed</t>
  </si>
  <si>
    <t>Official PDF | FY2025 / Mar 2026</t>
  </si>
  <si>
    <t>Downloadable primary results document supporting FY2025 figures, guidance, and transaction-period disclosures.</t>
  </si>
  <si>
    <t>Direct PDF retained; official results page cross-checked | Source-backed</t>
  </si>
  <si>
    <t>Official release | 26 Feb 2025</t>
  </si>
  <si>
    <t>Revenue €2,001m; Adjusted EBITDA €1,028m; leverage 1.1x; backlog, segment commentary, and Intelsat context.</t>
  </si>
  <si>
    <t>Official source hub | current archive</t>
  </si>
  <si>
    <t>Financial statements, results releases, presentations, and transcripts; preferred starting point for future refreshes.</t>
  </si>
  <si>
    <t>Validated 19 Aug 2026 | Official source hub</t>
  </si>
  <si>
    <t>Official source hub | includes FY2025</t>
  </si>
  <si>
    <t>Annual reports, audited statements, responsibility statements, and structured-reporting files.</t>
  </si>
  <si>
    <t>Equity bridge, minorities, diluted shares, accounting review</t>
  </si>
  <si>
    <t>Official URL retained; refresh from current archive | Official source hub</t>
  </si>
  <si>
    <t>Official transaction release | 17 Jul 2025</t>
  </si>
  <si>
    <t>Professional tax source | 2025+; reviewed 31 Jul 2026</t>
  </si>
  <si>
    <t>Luxembourg City combined corporate rate of 23.87% for taxable income above €200,000; simplifying proxy for SES group tax.</t>
  </si>
  <si>
    <t>Assumptions; WACC tax shield; Projections</t>
  </si>
  <si>
    <t>Validated 19 Aug 2026 | External professional source</t>
  </si>
  <si>
    <t>Current treatment</t>
  </si>
  <si>
    <t>Affected outputs</t>
  </si>
  <si>
    <t>Priority / status</t>
  </si>
  <si>
    <t>Action and reason</t>
  </si>
  <si>
    <t>WACC beta and cost of equity</t>
  </si>
  <si>
    <t>High / OPEN</t>
  </si>
  <si>
    <t>Refresh all peers on one date. Market-sensitive and capital-structure dependent.</t>
  </si>
  <si>
    <t>Illustrative 4.3%</t>
  </si>
  <si>
    <t>WACC and DCF</t>
  </si>
  <si>
    <t>Rebuild from current debt mix and yields. Direct valuation impact.</t>
  </si>
  <si>
    <t>Illustrative multiples</t>
  </si>
  <si>
    <t>Comps and blended valuation</t>
  </si>
  <si>
    <t>Refresh price, EV, and LTM / NTM metrics consistently.</t>
  </si>
  <si>
    <t>All equity bridges</t>
  </si>
  <si>
    <t>All per-share outputs</t>
  </si>
  <si>
    <t>Critical / OPEN</t>
  </si>
  <si>
    <t>Euronext / Luxembourg Stock Exchange and validated market-data provider</t>
  </si>
  <si>
    <t>Recommendation and market reference</t>
  </si>
  <si>
    <t>Projections, DCF, Sensitivity</t>
  </si>
  <si>
    <t>Medium / OPEN</t>
  </si>
  <si>
    <t>Refresh after each results cycle. Forecast assumptions drive cash flow.</t>
  </si>
  <si>
    <t>Provider export or dated report</t>
  </si>
  <si>
    <t>Educational portfolio model | Formula audit passed 19 Aug 2026 | Source-backed actuals with clearly identified illustrative market inputs</t>
  </si>
  <si>
    <t>Change in NWC (% revenue)</t>
  </si>
  <si>
    <t>Risk-free rate — German Bund reference proxy (Aug-2032 maturity)</t>
  </si>
  <si>
    <t>Market-based EUR input as of 18 August 2026: 2.99% yield on the 1.70% German Federal bond maturing 15 August 2032 (ISIN DE0001102606). This is a liquid Bund reference proxy with approximately six years remaining, not a constant-maturity 10-year yield. Deutsche Bundesbank reference-price data via Deutsche Finanzagentur.</t>
  </si>
  <si>
    <t>The primary 7.2% Base-case WACC is 0.8 percentage points above the refreshed mechanical result, providing a conservative buffer for beta, credit-spread, integration, and capital-structure uncertainty.</t>
  </si>
  <si>
    <t>Deutsche Finanzagentur bond factsheet — exact risk-free proxy</t>
  </si>
  <si>
    <t>https://www.deutsche-finanzagentur.de/en/federal-securities/factsheet/isin/DE0001102606</t>
  </si>
  <si>
    <t>Damodaran historical implied ERP — January 2026 annual update</t>
  </si>
  <si>
    <t>https://pages.stern.nyu.edu/~adamodar/New_Home_Page/datafile/histimpl.html</t>
  </si>
  <si>
    <t>P/E</t>
  </si>
  <si>
    <t>MARKET INPUT, LISTING &amp; DEBT-REFRESH SOURCES</t>
  </si>
  <si>
    <t>Input supported</t>
  </si>
  <si>
    <t>Observation / use</t>
  </si>
  <si>
    <t>Classification</t>
  </si>
  <si>
    <t>Deutsche Finanzagentur bond factsheet</t>
  </si>
  <si>
    <t>2.99% German Bund reference proxy</t>
  </si>
  <si>
    <t>18 Aug 2026; Aug-2032 maturity, ISIN DE0001102606</t>
  </si>
  <si>
    <t>Official sovereign source</t>
  </si>
  <si>
    <t>Damodaran historical implied ERP</t>
  </si>
  <si>
    <t>4.23% annual implied ERP</t>
  </si>
  <si>
    <t>January 2026 annual dataset used in WACC</t>
  </si>
  <si>
    <t>Academic / market-data source</t>
  </si>
  <si>
    <t>SES Investors</t>
  </si>
  <si>
    <t>Listing venues and ticker SESG</t>
  </si>
  <si>
    <t>Euronext Paris and Luxembourg Stock Exchange</t>
  </si>
  <si>
    <t>https://www.ses.com/investors</t>
  </si>
  <si>
    <t>Official company source</t>
  </si>
  <si>
    <t>SES Debtholder Information</t>
  </si>
  <si>
    <t>Debt-cost refresh reference</t>
  </si>
  <si>
    <t>Use for current debt mix and observable bond information</t>
  </si>
  <si>
    <t>Official refresh reference</t>
  </si>
  <si>
    <t>Completeness note: FY2023 leverage, Adjusted Free Cash Flow, and Capital Expenditure are intentionally unavailable in the controlled dataset; downstream Historicals displays these fields as n.a. rather than treating them as zero.</t>
  </si>
  <si>
    <t>Minority interests (reported)</t>
  </si>
  <si>
    <t>Source-based: non-controlling interests reported in SES FY2025 Annual Report at 31 December 2025.</t>
  </si>
  <si>
    <t>Diluted economic-equivalent shares</t>
  </si>
  <si>
    <t>Source-based: 417.006m economic-equivalent shares from SES shareholder information at 30 June 2026; fully diluted EPS is not materially different from basic EPS.</t>
  </si>
  <si>
    <t>ASSUMPTION CLASSIFICATION</t>
  </si>
  <si>
    <t>Assumption</t>
  </si>
  <si>
    <t>Type</t>
  </si>
  <si>
    <t>Revenue Growth</t>
  </si>
  <si>
    <t>Analyst Assumption</t>
  </si>
  <si>
    <t>EBITDA Margin</t>
  </si>
  <si>
    <t>Tax Rate</t>
  </si>
  <si>
    <t>Source-Based</t>
  </si>
  <si>
    <t>Market-Based</t>
  </si>
  <si>
    <t>Diluted Shares</t>
  </si>
  <si>
    <t>Minority Interests</t>
  </si>
  <si>
    <t>Market Data Observation Date</t>
  </si>
  <si>
    <t>PEER SELECTION CRITERIA</t>
  </si>
  <si>
    <t>1. Listed satellite or connectivity operator.  2. Similar infrastructure characteristics.  3. Similar capital intensity.  4. Similar revenue model.  5. Relevant to the SES competitive environment.
Excluded: companies with materially different business models.</t>
  </si>
  <si>
    <t>ENTERPRISE VALUE → EQUITY VALUE BRIDGE</t>
  </si>
  <si>
    <t>Enterprise Value</t>
  </si>
  <si>
    <t>Less: Net Debt</t>
  </si>
  <si>
    <t>Less: Minorities</t>
  </si>
  <si>
    <t>Equity Value</t>
  </si>
  <si>
    <t>Source-based equity bridge: FY2025 reported non-controlling interests and the latest official economic-equivalent share count are used.</t>
  </si>
  <si>
    <t>FY2025 reported non-controlling interests from the SES Annual Report.</t>
  </si>
  <si>
    <t>Enterprise value less adjusted net debt and reported minority interests.</t>
  </si>
  <si>
    <t>Official SES economic-equivalent share count at 30 June 2026; fully diluted EPS is not materially different from basic EPS.</t>
  </si>
  <si>
    <t>Indicative value per A-share/FDR using the source-based economic-equivalent share count.</t>
  </si>
  <si>
    <t>Source-based economic-equivalent share count from official SES shareholder information.</t>
  </si>
  <si>
    <t>Indicative per-A-share/FDR value using reported minority interests and source-based economic-equivalent shares.</t>
  </si>
  <si>
    <t>Scope note: This chart reconciles model-derived enterprise-value ranges only. A current-market EV marker is excluded until a validated share price and market capitalization are added; the equity bridge uses official minority-interest and economic-equivalent share data.</t>
  </si>
  <si>
    <t>Fixed bridge using modelled adjusted net debt and FY2025 reported minority interests.</t>
  </si>
  <si>
    <t>Per-share range uses reported minority interests and the official economic-equivalent share count.</t>
  </si>
  <si>
    <t>VALUATION LIMITATIONS</t>
  </si>
  <si>
    <t>SES FY2025 Annual Report</t>
  </si>
  <si>
    <t>Official annual report | FY2025 / Mar 2026</t>
  </si>
  <si>
    <t>Non-controlling interests of €91m at 31 December 2025; fully diluted EPS is not materially different from basic EPS.</t>
  </si>
  <si>
    <t>Assumptions; DCF; Comps; Football_Field; Exec_Summary</t>
  </si>
  <si>
    <t>https://www.ses.com/sites/default/files/2026-03/SES_AR25_2MAR26_vs21_web-LR.pdf</t>
  </si>
  <si>
    <t>Validated 1 Sep 2026 | Source-backed</t>
  </si>
  <si>
    <t>SES Shareholders</t>
  </si>
  <si>
    <t>Official shareholder information | 30 Jun 2026</t>
  </si>
  <si>
    <t>521.258m actual shares and 417.006m economic-equivalent shares; B-shares carry 40% of A-share economic rights.</t>
  </si>
  <si>
    <t>Assumptions and all per-share valuation outputs</t>
  </si>
  <si>
    <t>https://www.ses.com/investors/shareholder-information/shareholders</t>
  </si>
  <si>
    <t>Minority interests and economic-equivalent shares are source-based; no validated current share price, market capitalization, or market enterprise value is included.</t>
  </si>
  <si>
    <t>Reported €91m</t>
  </si>
  <si>
    <t>SES FY2025 Annual Report / consolidated statement of financial position</t>
  </si>
  <si>
    <t>Closed / SOURCE-BACKED</t>
  </si>
  <si>
    <t>FY2025 non-controlling interests at 31 December 2025; direct equity-value deduction.</t>
  </si>
  <si>
    <t>417.006m economic-equivalent</t>
  </si>
  <si>
    <t>SES shareholder information and FY2025 diluted-EPS disclosure</t>
  </si>
  <si>
    <t>Official 30 June 2026 capital structure; B-shares weighted at 40% of A-share economic rights.</t>
  </si>
  <si>
    <t>Source conclusion: the historical, guidance, minority-interest, and economic-share inputs are official and traceable; market-sensitive valuation inputs and the current market reference still require refresh before live investment use.</t>
  </si>
  <si>
    <t>FY2024–FY2025 revenue and Adjusted EBITDA, FY2025 leverage, FY2026 stable outlook, the Intelsat closing date, listing details, FY2025 minority interests, and the latest economic-equivalent share count are source-based. Beta, credit spread, peer multiples, and the current market price remain market-sensitive inputs requiring refresh before any live investment decision.</t>
  </si>
  <si>
    <t>Per-share sensitivity uses FY2025 reported minority interests and the official economic-equivalent share count.</t>
  </si>
  <si>
    <t>Observation date is established; add validated price, market capitalization, and market EV before an unconditional call.</t>
  </si>
  <si>
    <t>Maintain one market-data observation date for price, betas, yields, and peer multiples.</t>
  </si>
  <si>
    <t>Revalidate diluted economic-equivalent shares, minorities, and adjusted net debt against each latest filing.</t>
  </si>
  <si>
    <t>All market-sensitive inputs must be aligned to this observation date; less-frequent published series use the latest available data as of that date.</t>
  </si>
  <si>
    <t xml:space="preserve">https://taxsummaries.pwc.com/luxembourg/corporate/taxes-on-corporate-income </t>
  </si>
  <si>
    <t xml:space="preserve">https://www.ses.com/press-release/ses-completes-acquisition-intelsat-creating-global-multi-orbit-connectivity </t>
  </si>
  <si>
    <t xml:space="preserve">https://www.ses.com/investors/annual-reports </t>
  </si>
  <si>
    <t xml:space="preserve">https://www.ses.com/investors/financial-results </t>
  </si>
  <si>
    <t xml:space="preserve">https://www.ses.com/press-release/ses-full-year-2024-results </t>
  </si>
  <si>
    <t xml:space="preserve">https://www.ses.com/sites/default/files/2026-03/2603_FY2025%20Press%20Release_Final.pdf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</si>
</sst>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0.0%"/>
    <numFmt numFmtId="165" formatCode="0.0\x"/>
    <numFmt numFmtId="166" formatCode="#,##0;[Red]\(#,##0\);\-"/>
    <numFmt numFmtId="167" formatCode="\€0.00"/>
    <numFmt numFmtId="168" formatCode="0.000"/>
    <numFmt numFmtId="169" formatCode="dd\ mmm\ yyyy"/>
    <numFmt numFmtId="170" formatCode="#,##0;\(#,##0\);\-"/>
    <numFmt numFmtId="171" formatCode="0.0\ &quot;pp&quot;"/>
    <numFmt numFmtId="172" formatCode="0.0%;[Red]\-0.0%;\-"/>
    <numFmt numFmtId="173" formatCode="\€#,##0&quot;m&quot;"/>
    <numFmt numFmtId="174" formatCode="#,##0.0&quot;m&quot;"/>
    <numFmt numFmtId="175" formatCode="dd\-mmm\-yyyy"/>
    <numFmt numFmtId="177" formatCode="\€#,##0&quot;m&quot;;\(\€#,##0&quot;m&quot;\)"/>
  </numFmts>
  <fonts count="56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22"/>
      <color rgb="FFFFFFFF"/>
      <name val="Aptos"/>
    </font>
    <font>
      <sz val="11"/>
      <color theme="1"/>
      <name val="Aptos"/>
    </font>
    <font>
      <b/>
      <sz val="10"/>
      <color rgb="FF17365D"/>
      <name val="Aptos"/>
    </font>
    <font>
      <sz val="10"/>
      <color rgb="FF243447"/>
      <name val="Aptos"/>
    </font>
    <font>
      <b/>
      <sz val="10"/>
      <color rgb="FFFFFFFF"/>
      <name val="Aptos"/>
    </font>
    <font>
      <b/>
      <sz val="12"/>
      <color rgb="FFFFFFFF"/>
      <name val="Aptos"/>
    </font>
    <font>
      <b/>
      <sz val="9.5"/>
      <color rgb="FF17365D"/>
      <name val="Aptos"/>
    </font>
    <font>
      <sz val="9.5"/>
      <color rgb="FF243447"/>
      <name val="Aptos"/>
    </font>
    <font>
      <b/>
      <sz val="9"/>
      <color rgb="FF7A4B00"/>
      <name val="Aptos"/>
    </font>
    <font>
      <b/>
      <sz val="11"/>
      <color rgb="FFFFFFFF"/>
      <name val="Aptos"/>
    </font>
    <font>
      <b/>
      <sz val="18"/>
      <color rgb="FFFFFFFF"/>
      <name val="Aptos"/>
    </font>
    <font>
      <b/>
      <sz val="11"/>
      <color theme="1"/>
      <name val="Aptos"/>
    </font>
    <font>
      <b/>
      <sz val="11"/>
      <color rgb="FF17365D"/>
      <name val="Aptos"/>
    </font>
    <font>
      <sz val="11"/>
      <color rgb="FF5B6573"/>
      <name val="Aptos"/>
    </font>
    <font>
      <i/>
      <sz val="11"/>
      <color rgb="FF5B6573"/>
      <name val="Aptos"/>
    </font>
    <font>
      <sz val="11"/>
      <color rgb="FF0000FF"/>
      <name val="Aptos"/>
    </font>
    <font>
      <sz val="11"/>
      <color rgb="FF243447"/>
      <name val="Aptos"/>
    </font>
    <font>
      <b/>
      <sz val="11"/>
      <color rgb="FF243447"/>
      <name val="Aptos"/>
    </font>
    <font>
      <sz val="11"/>
      <color rgb="FF008000"/>
      <name val="Aptos"/>
    </font>
    <font>
      <b/>
      <sz val="11"/>
      <color rgb="FF0000FF"/>
      <name val="Aptos"/>
    </font>
    <font>
      <sz val="11"/>
      <color rgb="FF000000"/>
      <name val="Aptos"/>
    </font>
    <font>
      <sz val="11"/>
      <color rgb="FF0563C1"/>
      <name val="Aptos"/>
    </font>
    <font>
      <b/>
      <sz val="11"/>
      <color rgb="FF008000"/>
      <name val="Aptos"/>
    </font>
    <font>
      <b/>
      <sz val="14"/>
      <color theme="1"/>
      <name val="Aptos"/>
    </font>
    <font>
      <sz val="11"/>
      <color rgb="FF7A4B00"/>
      <name val="Aptos"/>
    </font>
    <font>
      <b/>
      <i/>
      <sz val="11"/>
      <color rgb="FF5B6573"/>
      <name val="Aptos"/>
    </font>
    <font>
      <b/>
      <sz val="15"/>
      <color theme="1"/>
      <name val="Aptos"/>
    </font>
    <font>
      <b/>
      <sz val="10"/>
      <color rgb="FF008000"/>
      <name val="Aptos"/>
    </font>
    <font>
      <sz val="10"/>
      <color rgb="FF222222"/>
      <name val="Aptos"/>
    </font>
    <font>
      <b/>
      <sz val="10"/>
      <color rgb="FF222222"/>
      <name val="Aptos"/>
    </font>
    <font>
      <i/>
      <sz val="10"/>
      <color rgb="FF5B6573"/>
      <name val="Aptos"/>
    </font>
    <font>
      <sz val="10"/>
      <color rgb="FF7F6000"/>
      <name val="Aptos"/>
    </font>
    <font>
      <i/>
      <sz val="10"/>
      <color rgb="FF7F6000"/>
      <name val="Aptos"/>
    </font>
    <font>
      <sz val="10"/>
      <color rgb="FF374151"/>
      <name val="Aptos"/>
    </font>
    <font>
      <b/>
      <sz val="10"/>
      <color rgb="FF9C6500"/>
      <name val="Aptos"/>
    </font>
    <font>
      <b/>
      <sz val="14"/>
      <color rgb="FF17365D"/>
      <name val="Aptos"/>
    </font>
    <font>
      <b/>
      <sz val="16"/>
      <color rgb="FF17365D"/>
      <name val="Aptos"/>
    </font>
    <font>
      <b/>
      <sz val="16"/>
      <color rgb="FF375623"/>
      <name val="Aptos"/>
    </font>
    <font>
      <sz val="10"/>
      <color rgb="FF375623"/>
      <name val="Aptos"/>
    </font>
    <font>
      <sz val="10"/>
      <color rgb="FF843C0C"/>
      <name val="Aptos"/>
    </font>
    <font>
      <sz val="10"/>
      <color rgb="FF9C6500"/>
      <name val="Aptos"/>
    </font>
    <font>
      <b/>
      <sz val="10"/>
      <color rgb="FFC00000"/>
      <name val="Aptos"/>
    </font>
    <font>
      <u/>
      <sz val="10"/>
      <color rgb="FF0563C1"/>
      <name val="Aptos"/>
    </font>
    <font>
      <b/>
      <sz val="9"/>
      <color rgb="FF375623"/>
      <name val="Aptos"/>
    </font>
    <font>
      <u/>
      <sz val="11"/>
      <color rgb="FF0563C1"/>
      <name val="Aptos"/>
    </font>
    <font>
      <i/>
      <sz val="11"/>
      <color rgb="FF7F6000"/>
      <name val="Aptos"/>
    </font>
    <font>
      <u/>
      <sz val="11"/>
      <color theme="1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1F1F1F"/>
      <name val="Calibri"/>
      <family val="2"/>
      <charset val="1"/>
    </font>
    <font>
      <b/>
      <sz val="11"/>
      <color rgb="FF1F1F1F"/>
      <name val="Aptos"/>
    </font>
    <font>
      <sz val="11"/>
      <color rgb="FF404040"/>
      <name val="Calibri"/>
      <family val="2"/>
      <charset val="1"/>
    </font>
    <font>
      <i/>
      <sz val="11"/>
      <color rgb="FF666666"/>
      <name val="Calibri"/>
      <family val="2"/>
      <charset val="1"/>
    </font>
    <font>
      <b/>
      <sz val="14"/>
      <color rgb="FF7F6000"/>
      <name val="Aptos"/>
      <family val="2"/>
    </font>
    <font>
      <i/>
      <sz val="11"/>
      <color rgb="FF5B6573"/>
      <name val="Aptos"/>
      <family val="2"/>
    </font>
  </fonts>
  <fills count="1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FFBE6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3F6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2F6FA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rgb="FFD9E1E8"/>
      </bottom>
      <diagonal/>
    </border>
    <border>
      <left/>
      <right/>
      <top style="thin">
        <color rgb="FFD9E1E8"/>
      </top>
      <bottom style="thin">
        <color rgb="FFD9E1E8"/>
      </bottom>
      <diagonal/>
    </border>
    <border>
      <left/>
      <right/>
      <top style="thin">
        <color rgb="FFD9E1E8"/>
      </top>
      <bottom/>
      <diagonal/>
    </border>
    <border>
      <left/>
      <right/>
      <top/>
      <bottom style="thin">
        <color rgb="FFE0B15B"/>
      </bottom>
      <diagonal/>
    </border>
    <border>
      <left/>
      <right/>
      <top style="double">
        <color rgb="FFD9E1E8"/>
      </top>
      <bottom style="thin">
        <color rgb="FFD9E1E8"/>
      </bottom>
      <diagonal/>
    </border>
    <border>
      <left/>
      <right/>
      <top style="double">
        <color rgb="FF17365D"/>
      </top>
      <bottom style="thin">
        <color rgb="FFD9E1E8"/>
      </bottom>
      <diagonal/>
    </border>
    <border>
      <left/>
      <right style="thin">
        <color rgb="FFD9E1E8"/>
      </right>
      <top/>
      <bottom style="thin">
        <color rgb="FFD9E1E8"/>
      </bottom>
      <diagonal/>
    </border>
    <border>
      <left style="thin">
        <color rgb="FFD9E1E8"/>
      </left>
      <right style="thin">
        <color rgb="FFD9E1E8"/>
      </right>
      <top/>
      <bottom style="thin">
        <color rgb="FFD9E1E8"/>
      </bottom>
      <diagonal/>
    </border>
    <border>
      <left style="thin">
        <color rgb="FFD9E1E8"/>
      </left>
      <right/>
      <top/>
      <bottom style="thin">
        <color rgb="FFD9E1E8"/>
      </bottom>
      <diagonal/>
    </border>
    <border>
      <left/>
      <right style="thin">
        <color rgb="FFD9E1E8"/>
      </right>
      <top style="thin">
        <color rgb="FFD9E1E8"/>
      </top>
      <bottom style="thin">
        <color rgb="FFD9E1E8"/>
      </bottom>
      <diagonal/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  <diagonal/>
    </border>
    <border>
      <left style="thin">
        <color rgb="FFD9E1E8"/>
      </left>
      <right/>
      <top style="thin">
        <color rgb="FFD9E1E8"/>
      </top>
      <bottom style="thin">
        <color rgb="FFD9E1E8"/>
      </bottom>
      <diagonal/>
    </border>
    <border>
      <left style="thin">
        <color rgb="FFB8C4CE"/>
      </left>
      <right style="thin">
        <color rgb="FFB8C4CE"/>
      </right>
      <top style="thin">
        <color rgb="FFB8C4CE"/>
      </top>
      <bottom style="thin">
        <color rgb="FFB8C4CE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5B9BD5"/>
      </top>
      <bottom style="thin">
        <color rgb="FF5B9BD5"/>
      </bottom>
      <diagonal/>
    </border>
    <border>
      <left style="thin">
        <color rgb="FF5B9BD5"/>
      </left>
      <right/>
      <top style="thin">
        <color rgb="FF5B9BD5"/>
      </top>
      <bottom style="thin">
        <color rgb="FF5B9BD5"/>
      </bottom>
      <diagonal/>
    </border>
    <border>
      <left/>
      <right style="thin">
        <color rgb="FF5B9BD5"/>
      </right>
      <top style="thin">
        <color rgb="FF5B9BD5"/>
      </top>
      <bottom style="thin">
        <color rgb="FF5B9BD5"/>
      </bottom>
      <diagonal/>
    </border>
    <border>
      <left/>
      <right/>
      <top style="thin">
        <color rgb="FFA6A6A6"/>
      </top>
      <bottom/>
      <diagonal/>
    </border>
    <border>
      <left/>
      <right/>
      <top/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</borders>
  <cellStyleXfs count="2">
    <xf numFmtId="0" fontId="0" fillId="0" borderId="0"/>
    <xf numFmtId="0" fontId="48" fillId="0" borderId="0" applyNumberFormat="0" applyFill="0" applyBorder="0" applyAlignment="0" applyProtection="0"/>
  </cellStyleXfs>
  <cellXfs count="386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8" fillId="0" borderId="3" xfId="0" applyFont="1" applyBorder="1" applyAlignment="1">
      <alignment vertical="center" wrapText="1"/>
    </xf>
    <xf numFmtId="3" fontId="3" fillId="0" borderId="0" xfId="0" applyNumberFormat="1" applyFont="1"/>
    <xf numFmtId="165" fontId="3" fillId="0" borderId="0" xfId="0" applyNumberFormat="1" applyFont="1"/>
    <xf numFmtId="3" fontId="20" fillId="0" borderId="0" xfId="0" applyNumberFormat="1" applyFont="1"/>
    <xf numFmtId="165" fontId="20" fillId="0" borderId="0" xfId="0" applyNumberFormat="1" applyFont="1"/>
    <xf numFmtId="0" fontId="17" fillId="3" borderId="1" xfId="0" applyFont="1" applyFill="1" applyBorder="1"/>
    <xf numFmtId="0" fontId="17" fillId="3" borderId="2" xfId="0" applyFont="1" applyFill="1" applyBorder="1"/>
    <xf numFmtId="0" fontId="16" fillId="0" borderId="2" xfId="0" applyFont="1" applyBorder="1" applyAlignment="1">
      <alignment wrapText="1"/>
    </xf>
    <xf numFmtId="164" fontId="19" fillId="3" borderId="2" xfId="0" applyNumberFormat="1" applyFont="1" applyFill="1" applyBorder="1"/>
    <xf numFmtId="164" fontId="17" fillId="3" borderId="2" xfId="0" applyNumberFormat="1" applyFont="1" applyFill="1" applyBorder="1"/>
    <xf numFmtId="0" fontId="13" fillId="0" borderId="1" xfId="0" applyFont="1" applyBorder="1"/>
    <xf numFmtId="0" fontId="13" fillId="0" borderId="2" xfId="0" applyFont="1" applyBorder="1"/>
    <xf numFmtId="164" fontId="3" fillId="4" borderId="2" xfId="0" applyNumberFormat="1" applyFont="1" applyFill="1" applyBorder="1" applyAlignment="1">
      <alignment horizontal="right"/>
    </xf>
    <xf numFmtId="3" fontId="20" fillId="3" borderId="1" xfId="0" applyNumberFormat="1" applyFont="1" applyFill="1" applyBorder="1"/>
    <xf numFmtId="165" fontId="20" fillId="3" borderId="2" xfId="0" applyNumberFormat="1" applyFont="1" applyFill="1" applyBorder="1"/>
    <xf numFmtId="0" fontId="21" fillId="0" borderId="2" xfId="0" applyFont="1" applyBorder="1"/>
    <xf numFmtId="164" fontId="17" fillId="0" borderId="2" xfId="0" applyNumberFormat="1" applyFont="1" applyBorder="1"/>
    <xf numFmtId="0" fontId="15" fillId="0" borderId="2" xfId="0" applyFont="1" applyBorder="1" applyAlignment="1">
      <alignment wrapText="1"/>
    </xf>
    <xf numFmtId="0" fontId="3" fillId="0" borderId="2" xfId="0" applyFont="1" applyBorder="1"/>
    <xf numFmtId="164" fontId="22" fillId="0" borderId="0" xfId="0" applyNumberFormat="1" applyFont="1"/>
    <xf numFmtId="0" fontId="23" fillId="0" borderId="0" xfId="0" applyFont="1" applyAlignment="1">
      <alignment wrapText="1"/>
    </xf>
    <xf numFmtId="0" fontId="18" fillId="0" borderId="2" xfId="0" applyFont="1" applyBorder="1" applyAlignment="1">
      <alignment wrapText="1"/>
    </xf>
    <xf numFmtId="15" fontId="18" fillId="0" borderId="2" xfId="0" applyNumberFormat="1" applyFont="1" applyBorder="1" applyAlignment="1">
      <alignment wrapText="1"/>
    </xf>
    <xf numFmtId="0" fontId="23" fillId="0" borderId="2" xfId="0" applyFont="1" applyBorder="1" applyAlignment="1">
      <alignment wrapText="1"/>
    </xf>
    <xf numFmtId="0" fontId="24" fillId="0" borderId="2" xfId="0" applyFont="1" applyBorder="1"/>
    <xf numFmtId="0" fontId="3" fillId="0" borderId="2" xfId="0" applyFont="1" applyBorder="1" applyAlignment="1">
      <alignment wrapText="1"/>
    </xf>
    <xf numFmtId="164" fontId="3" fillId="0" borderId="0" xfId="0" applyNumberFormat="1" applyFont="1"/>
    <xf numFmtId="0" fontId="13" fillId="0" borderId="0" xfId="0" applyFont="1"/>
    <xf numFmtId="0" fontId="14" fillId="0" borderId="0" xfId="0" applyFont="1"/>
    <xf numFmtId="0" fontId="14" fillId="0" borderId="2" xfId="0" applyFont="1" applyBorder="1"/>
    <xf numFmtId="0" fontId="24" fillId="0" borderId="2" xfId="0" applyFont="1" applyBorder="1" applyAlignment="1">
      <alignment horizontal="center"/>
    </xf>
    <xf numFmtId="0" fontId="14" fillId="0" borderId="3" xfId="0" applyFont="1" applyBorder="1"/>
    <xf numFmtId="3" fontId="20" fillId="0" borderId="3" xfId="0" applyNumberFormat="1" applyFont="1" applyBorder="1" applyAlignment="1">
      <alignment horizontal="right"/>
    </xf>
    <xf numFmtId="164" fontId="3" fillId="0" borderId="3" xfId="0" applyNumberFormat="1" applyFont="1" applyBorder="1" applyAlignment="1">
      <alignment horizontal="right"/>
    </xf>
    <xf numFmtId="0" fontId="24" fillId="0" borderId="3" xfId="0" applyFont="1" applyBorder="1" applyAlignment="1">
      <alignment horizontal="center"/>
    </xf>
    <xf numFmtId="0" fontId="18" fillId="0" borderId="3" xfId="0" applyFont="1" applyBorder="1" applyAlignment="1">
      <alignment wrapText="1"/>
    </xf>
    <xf numFmtId="165" fontId="20" fillId="0" borderId="3" xfId="0" applyNumberFormat="1" applyFont="1" applyBorder="1" applyAlignment="1">
      <alignment horizontal="right"/>
    </xf>
    <xf numFmtId="170" fontId="20" fillId="0" borderId="2" xfId="0" applyNumberFormat="1" applyFont="1" applyBorder="1" applyAlignment="1">
      <alignment horizontal="right"/>
    </xf>
    <xf numFmtId="164" fontId="3" fillId="5" borderId="0" xfId="0" applyNumberFormat="1" applyFont="1" applyFill="1" applyAlignment="1">
      <alignment horizontal="right"/>
    </xf>
    <xf numFmtId="164" fontId="3" fillId="5" borderId="3" xfId="0" applyNumberFormat="1" applyFont="1" applyFill="1" applyBorder="1" applyAlignment="1">
      <alignment horizontal="right"/>
    </xf>
    <xf numFmtId="0" fontId="15" fillId="0" borderId="0" xfId="0" applyFont="1" applyAlignment="1">
      <alignment wrapText="1"/>
    </xf>
    <xf numFmtId="0" fontId="16" fillId="0" borderId="3" xfId="0" applyFont="1" applyBorder="1" applyAlignment="1">
      <alignment wrapText="1"/>
    </xf>
    <xf numFmtId="170" fontId="3" fillId="0" borderId="3" xfId="0" applyNumberFormat="1" applyFont="1" applyBorder="1" applyAlignment="1">
      <alignment horizontal="right"/>
    </xf>
    <xf numFmtId="3" fontId="3" fillId="5" borderId="0" xfId="0" applyNumberFormat="1" applyFont="1" applyFill="1" applyAlignment="1">
      <alignment horizontal="right"/>
    </xf>
    <xf numFmtId="3" fontId="3" fillId="5" borderId="3" xfId="0" applyNumberFormat="1" applyFont="1" applyFill="1" applyBorder="1" applyAlignment="1">
      <alignment horizontal="right"/>
    </xf>
    <xf numFmtId="171" fontId="3" fillId="5" borderId="3" xfId="0" applyNumberFormat="1" applyFont="1" applyFill="1" applyBorder="1" applyAlignment="1">
      <alignment horizontal="right"/>
    </xf>
    <xf numFmtId="0" fontId="24" fillId="0" borderId="3" xfId="0" applyFont="1" applyBorder="1"/>
    <xf numFmtId="0" fontId="15" fillId="0" borderId="3" xfId="0" applyFont="1" applyBorder="1" applyAlignment="1">
      <alignment wrapText="1"/>
    </xf>
    <xf numFmtId="164" fontId="17" fillId="0" borderId="0" xfId="0" applyNumberFormat="1" applyFont="1"/>
    <xf numFmtId="164" fontId="17" fillId="3" borderId="0" xfId="0" applyNumberFormat="1" applyFont="1" applyFill="1"/>
    <xf numFmtId="164" fontId="3" fillId="3" borderId="0" xfId="0" applyNumberFormat="1" applyFont="1" applyFill="1"/>
    <xf numFmtId="164" fontId="20" fillId="3" borderId="0" xfId="0" applyNumberFormat="1" applyFont="1" applyFill="1"/>
    <xf numFmtId="0" fontId="3" fillId="0" borderId="3" xfId="0" applyFont="1" applyBorder="1"/>
    <xf numFmtId="2" fontId="17" fillId="0" borderId="3" xfId="0" applyNumberFormat="1" applyFont="1" applyBorder="1"/>
    <xf numFmtId="164" fontId="17" fillId="0" borderId="3" xfId="0" applyNumberFormat="1" applyFont="1" applyBorder="1"/>
    <xf numFmtId="2" fontId="3" fillId="0" borderId="3" xfId="0" applyNumberFormat="1" applyFont="1" applyBorder="1"/>
    <xf numFmtId="0" fontId="17" fillId="0" borderId="3" xfId="0" applyFont="1" applyBorder="1"/>
    <xf numFmtId="2" fontId="13" fillId="0" borderId="0" xfId="0" applyNumberFormat="1" applyFont="1"/>
    <xf numFmtId="164" fontId="13" fillId="0" borderId="0" xfId="0" applyNumberFormat="1" applyFont="1"/>
    <xf numFmtId="0" fontId="3" fillId="0" borderId="3" xfId="0" applyFont="1" applyBorder="1" applyAlignment="1">
      <alignment wrapText="1"/>
    </xf>
    <xf numFmtId="0" fontId="14" fillId="0" borderId="0" xfId="0" applyFont="1" applyAlignment="1">
      <alignment wrapText="1"/>
    </xf>
    <xf numFmtId="15" fontId="15" fillId="0" borderId="3" xfId="0" applyNumberFormat="1" applyFont="1" applyBorder="1" applyAlignment="1">
      <alignment wrapText="1"/>
    </xf>
    <xf numFmtId="0" fontId="20" fillId="0" borderId="3" xfId="0" applyFont="1" applyBorder="1" applyAlignment="1">
      <alignment wrapText="1"/>
    </xf>
    <xf numFmtId="0" fontId="17" fillId="0" borderId="3" xfId="0" applyFont="1" applyBorder="1" applyAlignment="1">
      <alignment wrapText="1"/>
    </xf>
    <xf numFmtId="164" fontId="13" fillId="0" borderId="3" xfId="0" applyNumberFormat="1" applyFont="1" applyBorder="1" applyAlignment="1">
      <alignment horizontal="right"/>
    </xf>
    <xf numFmtId="170" fontId="13" fillId="0" borderId="3" xfId="0" applyNumberFormat="1" applyFont="1" applyBorder="1" applyAlignment="1">
      <alignment horizontal="right"/>
    </xf>
    <xf numFmtId="0" fontId="13" fillId="0" borderId="3" xfId="0" applyFont="1" applyBorder="1"/>
    <xf numFmtId="168" fontId="3" fillId="0" borderId="3" xfId="0" applyNumberFormat="1" applyFont="1" applyBorder="1" applyAlignment="1">
      <alignment horizontal="right"/>
    </xf>
    <xf numFmtId="170" fontId="13" fillId="0" borderId="3" xfId="0" applyNumberFormat="1" applyFont="1" applyBorder="1"/>
    <xf numFmtId="164" fontId="13" fillId="0" borderId="2" xfId="0" applyNumberFormat="1" applyFont="1" applyBorder="1"/>
    <xf numFmtId="164" fontId="13" fillId="0" borderId="3" xfId="0" applyNumberFormat="1" applyFont="1" applyBorder="1"/>
    <xf numFmtId="3" fontId="3" fillId="0" borderId="11" xfId="0" applyNumberFormat="1" applyFont="1" applyBorder="1" applyAlignment="1">
      <alignment horizontal="right"/>
    </xf>
    <xf numFmtId="3" fontId="3" fillId="0" borderId="12" xfId="0" applyNumberFormat="1" applyFont="1" applyBorder="1" applyAlignment="1">
      <alignment horizontal="right"/>
    </xf>
    <xf numFmtId="167" fontId="3" fillId="0" borderId="11" xfId="0" applyNumberFormat="1" applyFont="1" applyBorder="1" applyAlignment="1">
      <alignment horizontal="right"/>
    </xf>
    <xf numFmtId="167" fontId="3" fillId="0" borderId="12" xfId="0" applyNumberFormat="1" applyFont="1" applyBorder="1" applyAlignment="1">
      <alignment horizontal="right"/>
    </xf>
    <xf numFmtId="3" fontId="13" fillId="0" borderId="3" xfId="0" applyNumberFormat="1" applyFont="1" applyBorder="1"/>
    <xf numFmtId="165" fontId="17" fillId="0" borderId="3" xfId="0" applyNumberFormat="1" applyFont="1" applyBorder="1"/>
    <xf numFmtId="0" fontId="13" fillId="0" borderId="3" xfId="0" applyFont="1" applyBorder="1" applyAlignment="1">
      <alignment horizontal="center"/>
    </xf>
    <xf numFmtId="0" fontId="23" fillId="0" borderId="3" xfId="0" applyFont="1" applyBorder="1" applyAlignment="1">
      <alignment wrapText="1"/>
    </xf>
    <xf numFmtId="165" fontId="13" fillId="0" borderId="0" xfId="0" applyNumberFormat="1" applyFont="1"/>
    <xf numFmtId="165" fontId="13" fillId="0" borderId="3" xfId="0" applyNumberFormat="1" applyFont="1" applyBorder="1"/>
    <xf numFmtId="165" fontId="21" fillId="0" borderId="3" xfId="0" applyNumberFormat="1" applyFont="1" applyBorder="1"/>
    <xf numFmtId="0" fontId="30" fillId="0" borderId="0" xfId="0" applyFont="1" applyAlignment="1">
      <alignment vertical="center"/>
    </xf>
    <xf numFmtId="0" fontId="31" fillId="0" borderId="13" xfId="0" applyFont="1" applyBorder="1" applyAlignment="1">
      <alignment vertical="center" wrapText="1"/>
    </xf>
    <xf numFmtId="3" fontId="30" fillId="0" borderId="13" xfId="0" applyNumberFormat="1" applyFont="1" applyBorder="1" applyAlignment="1">
      <alignment horizontal="right" vertical="center"/>
    </xf>
    <xf numFmtId="0" fontId="30" fillId="0" borderId="13" xfId="0" applyFont="1" applyBorder="1" applyAlignment="1">
      <alignment vertical="center" wrapText="1"/>
    </xf>
    <xf numFmtId="172" fontId="30" fillId="0" borderId="13" xfId="0" applyNumberFormat="1" applyFont="1" applyBorder="1" applyAlignment="1">
      <alignment horizontal="right" vertical="center" wrapText="1"/>
    </xf>
    <xf numFmtId="0" fontId="31" fillId="5" borderId="13" xfId="0" applyFont="1" applyFill="1" applyBorder="1" applyAlignment="1">
      <alignment vertical="center" wrapText="1"/>
    </xf>
    <xf numFmtId="3" fontId="31" fillId="5" borderId="13" xfId="0" applyNumberFormat="1" applyFont="1" applyFill="1" applyBorder="1" applyAlignment="1">
      <alignment horizontal="right" vertical="center"/>
    </xf>
    <xf numFmtId="172" fontId="31" fillId="5" borderId="13" xfId="0" applyNumberFormat="1" applyFont="1" applyFill="1" applyBorder="1" applyAlignment="1">
      <alignment horizontal="right" vertical="center" wrapText="1"/>
    </xf>
    <xf numFmtId="3" fontId="31" fillId="0" borderId="13" xfId="0" applyNumberFormat="1" applyFont="1" applyBorder="1" applyAlignment="1">
      <alignment horizontal="right" vertical="center"/>
    </xf>
    <xf numFmtId="167" fontId="31" fillId="5" borderId="13" xfId="0" applyNumberFormat="1" applyFont="1" applyFill="1" applyBorder="1" applyAlignment="1">
      <alignment horizontal="right" vertical="center"/>
    </xf>
    <xf numFmtId="0" fontId="31" fillId="6" borderId="13" xfId="0" applyFont="1" applyFill="1" applyBorder="1" applyAlignment="1">
      <alignment vertical="center" wrapText="1"/>
    </xf>
    <xf numFmtId="167" fontId="31" fillId="6" borderId="13" xfId="0" applyNumberFormat="1" applyFont="1" applyFill="1" applyBorder="1" applyAlignment="1">
      <alignment horizontal="right" vertical="center"/>
    </xf>
    <xf numFmtId="0" fontId="31" fillId="10" borderId="13" xfId="0" applyFont="1" applyFill="1" applyBorder="1" applyAlignment="1">
      <alignment vertical="center" wrapText="1"/>
    </xf>
    <xf numFmtId="0" fontId="29" fillId="10" borderId="13" xfId="0" applyFont="1" applyFill="1" applyBorder="1" applyAlignment="1">
      <alignment horizontal="center" vertical="center"/>
    </xf>
    <xf numFmtId="0" fontId="30" fillId="10" borderId="13" xfId="0" applyFont="1" applyFill="1" applyBorder="1" applyAlignment="1">
      <alignment vertical="center" wrapText="1"/>
    </xf>
    <xf numFmtId="0" fontId="36" fillId="8" borderId="13" xfId="0" applyFont="1" applyFill="1" applyBorder="1" applyAlignment="1">
      <alignment vertical="center"/>
    </xf>
    <xf numFmtId="0" fontId="30" fillId="8" borderId="13" xfId="0" applyFont="1" applyFill="1" applyBorder="1" applyAlignment="1">
      <alignment vertical="center" wrapText="1"/>
    </xf>
    <xf numFmtId="0" fontId="31" fillId="10" borderId="13" xfId="0" applyFont="1" applyFill="1" applyBorder="1" applyAlignment="1">
      <alignment vertical="center"/>
    </xf>
    <xf numFmtId="0" fontId="29" fillId="10" borderId="13" xfId="0" applyFont="1" applyFill="1" applyBorder="1" applyAlignment="1">
      <alignment vertical="center"/>
    </xf>
    <xf numFmtId="0" fontId="31" fillId="0" borderId="13" xfId="0" applyFont="1" applyBorder="1" applyAlignment="1">
      <alignment vertical="center"/>
    </xf>
    <xf numFmtId="166" fontId="30" fillId="0" borderId="13" xfId="0" applyNumberFormat="1" applyFont="1" applyBorder="1" applyAlignment="1">
      <alignment horizontal="right" vertical="center"/>
    </xf>
    <xf numFmtId="0" fontId="4" fillId="6" borderId="13" xfId="0" applyFont="1" applyFill="1" applyBorder="1" applyAlignment="1">
      <alignment horizontal="center" vertical="center"/>
    </xf>
    <xf numFmtId="0" fontId="31" fillId="5" borderId="13" xfId="0" applyFont="1" applyFill="1" applyBorder="1" applyAlignment="1">
      <alignment vertical="center"/>
    </xf>
    <xf numFmtId="167" fontId="30" fillId="0" borderId="13" xfId="0" applyNumberFormat="1" applyFont="1" applyBorder="1" applyAlignment="1">
      <alignment horizontal="right" vertical="center"/>
    </xf>
    <xf numFmtId="0" fontId="42" fillId="8" borderId="13" xfId="0" applyFont="1" applyFill="1" applyBorder="1" applyAlignment="1">
      <alignment vertical="center"/>
    </xf>
    <xf numFmtId="0" fontId="44" fillId="0" borderId="13" xfId="0" applyFont="1" applyBorder="1" applyAlignment="1">
      <alignment vertical="center" wrapText="1"/>
    </xf>
    <xf numFmtId="0" fontId="29" fillId="0" borderId="13" xfId="0" applyFont="1" applyBorder="1" applyAlignment="1">
      <alignment vertical="center" wrapText="1"/>
    </xf>
    <xf numFmtId="0" fontId="31" fillId="8" borderId="13" xfId="0" applyFont="1" applyFill="1" applyBorder="1" applyAlignment="1">
      <alignment vertical="center" wrapText="1"/>
    </xf>
    <xf numFmtId="0" fontId="43" fillId="0" borderId="13" xfId="0" applyFont="1" applyBorder="1" applyAlignment="1">
      <alignment vertical="center" wrapText="1"/>
    </xf>
    <xf numFmtId="0" fontId="13" fillId="0" borderId="0" xfId="0" applyFont="1" applyAlignment="1">
      <alignment wrapText="1"/>
    </xf>
    <xf numFmtId="0" fontId="18" fillId="0" borderId="3" xfId="0" applyFont="1" applyBorder="1" applyAlignment="1">
      <alignment vertical="top" wrapText="1"/>
    </xf>
    <xf numFmtId="0" fontId="19" fillId="0" borderId="3" xfId="0" applyFont="1" applyBorder="1" applyAlignment="1">
      <alignment vertical="top" wrapText="1"/>
    </xf>
    <xf numFmtId="169" fontId="18" fillId="0" borderId="3" xfId="0" applyNumberFormat="1" applyFont="1" applyBorder="1" applyAlignment="1">
      <alignment vertical="top" wrapText="1"/>
    </xf>
    <xf numFmtId="0" fontId="15" fillId="0" borderId="3" xfId="0" applyFont="1" applyBorder="1" applyAlignment="1">
      <alignment vertical="top" wrapText="1"/>
    </xf>
    <xf numFmtId="0" fontId="18" fillId="0" borderId="2" xfId="0" applyFont="1" applyBorder="1" applyAlignment="1">
      <alignment vertical="top" wrapText="1"/>
    </xf>
    <xf numFmtId="0" fontId="19" fillId="0" borderId="2" xfId="0" applyFont="1" applyBorder="1" applyAlignment="1">
      <alignment vertical="top" wrapText="1"/>
    </xf>
    <xf numFmtId="169" fontId="18" fillId="0" borderId="2" xfId="0" applyNumberFormat="1" applyFont="1" applyBorder="1" applyAlignment="1">
      <alignment vertical="top" wrapText="1"/>
    </xf>
    <xf numFmtId="0" fontId="15" fillId="0" borderId="2" xfId="0" applyFont="1" applyBorder="1" applyAlignment="1">
      <alignment vertical="top" wrapText="1"/>
    </xf>
    <xf numFmtId="0" fontId="13" fillId="0" borderId="13" xfId="0" applyFont="1" applyBorder="1" applyAlignment="1">
      <alignment wrapText="1"/>
    </xf>
    <xf numFmtId="0" fontId="3" fillId="0" borderId="13" xfId="0" applyFont="1" applyBorder="1" applyAlignment="1">
      <alignment wrapText="1"/>
    </xf>
    <xf numFmtId="0" fontId="46" fillId="0" borderId="13" xfId="0" applyFont="1" applyBorder="1" applyAlignment="1">
      <alignment wrapText="1"/>
    </xf>
    <xf numFmtId="0" fontId="4" fillId="6" borderId="0" xfId="0" applyFont="1" applyFill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vertical="center" wrapText="1"/>
    </xf>
    <xf numFmtId="0" fontId="8" fillId="9" borderId="2" xfId="0" applyFont="1" applyFill="1" applyBorder="1" applyAlignment="1">
      <alignment vertical="center" wrapText="1"/>
    </xf>
    <xf numFmtId="0" fontId="14" fillId="6" borderId="1" xfId="0" applyFont="1" applyFill="1" applyBorder="1"/>
    <xf numFmtId="0" fontId="14" fillId="6" borderId="2" xfId="0" applyFont="1" applyFill="1" applyBorder="1"/>
    <xf numFmtId="0" fontId="11" fillId="7" borderId="1" xfId="0" applyFont="1" applyFill="1" applyBorder="1" applyAlignment="1">
      <alignment horizontal="center"/>
    </xf>
    <xf numFmtId="0" fontId="21" fillId="9" borderId="2" xfId="0" applyFont="1" applyFill="1" applyBorder="1"/>
    <xf numFmtId="164" fontId="17" fillId="9" borderId="2" xfId="0" applyNumberFormat="1" applyFont="1" applyFill="1" applyBorder="1"/>
    <xf numFmtId="0" fontId="15" fillId="9" borderId="2" xfId="0" applyFont="1" applyFill="1" applyBorder="1" applyAlignment="1">
      <alignment wrapText="1"/>
    </xf>
    <xf numFmtId="0" fontId="13" fillId="9" borderId="2" xfId="0" applyFont="1" applyFill="1" applyBorder="1"/>
    <xf numFmtId="0" fontId="3" fillId="9" borderId="2" xfId="0" applyFont="1" applyFill="1" applyBorder="1" applyAlignment="1">
      <alignment wrapText="1"/>
    </xf>
    <xf numFmtId="0" fontId="18" fillId="9" borderId="2" xfId="0" applyFont="1" applyFill="1" applyBorder="1" applyAlignment="1">
      <alignment wrapText="1"/>
    </xf>
    <xf numFmtId="0" fontId="23" fillId="9" borderId="2" xfId="0" applyFont="1" applyFill="1" applyBorder="1" applyAlignment="1">
      <alignment wrapText="1"/>
    </xf>
    <xf numFmtId="10" fontId="18" fillId="9" borderId="2" xfId="0" applyNumberFormat="1" applyFont="1" applyFill="1" applyBorder="1" applyAlignment="1">
      <alignment wrapText="1"/>
    </xf>
    <xf numFmtId="0" fontId="11" fillId="7" borderId="1" xfId="0" applyFont="1" applyFill="1" applyBorder="1" applyAlignment="1">
      <alignment horizontal="center" wrapText="1"/>
    </xf>
    <xf numFmtId="0" fontId="11" fillId="7" borderId="0" xfId="0" applyFont="1" applyFill="1" applyAlignment="1">
      <alignment horizontal="center"/>
    </xf>
    <xf numFmtId="0" fontId="3" fillId="9" borderId="2" xfId="0" applyFont="1" applyFill="1" applyBorder="1"/>
    <xf numFmtId="0" fontId="24" fillId="9" borderId="2" xfId="0" applyFont="1" applyFill="1" applyBorder="1"/>
    <xf numFmtId="0" fontId="3" fillId="9" borderId="0" xfId="0" applyFont="1" applyFill="1"/>
    <xf numFmtId="0" fontId="3" fillId="9" borderId="3" xfId="0" applyFont="1" applyFill="1" applyBorder="1"/>
    <xf numFmtId="0" fontId="24" fillId="9" borderId="3" xfId="0" applyFont="1" applyFill="1" applyBorder="1"/>
    <xf numFmtId="0" fontId="3" fillId="9" borderId="3" xfId="0" applyFont="1" applyFill="1" applyBorder="1" applyAlignment="1">
      <alignment wrapText="1"/>
    </xf>
    <xf numFmtId="0" fontId="3" fillId="9" borderId="0" xfId="0" applyFont="1" applyFill="1" applyAlignment="1">
      <alignment wrapText="1"/>
    </xf>
    <xf numFmtId="0" fontId="18" fillId="9" borderId="0" xfId="0" applyFont="1" applyFill="1" applyAlignment="1">
      <alignment vertical="top" wrapText="1"/>
    </xf>
    <xf numFmtId="0" fontId="19" fillId="9" borderId="0" xfId="0" applyFont="1" applyFill="1" applyAlignment="1">
      <alignment vertical="top" wrapText="1"/>
    </xf>
    <xf numFmtId="169" fontId="18" fillId="9" borderId="0" xfId="0" applyNumberFormat="1" applyFont="1" applyFill="1" applyAlignment="1">
      <alignment vertical="top" wrapText="1"/>
    </xf>
    <xf numFmtId="0" fontId="15" fillId="9" borderId="0" xfId="0" applyFont="1" applyFill="1" applyAlignment="1">
      <alignment vertical="top" wrapText="1"/>
    </xf>
    <xf numFmtId="0" fontId="18" fillId="9" borderId="3" xfId="0" applyFont="1" applyFill="1" applyBorder="1" applyAlignment="1">
      <alignment vertical="top" wrapText="1"/>
    </xf>
    <xf numFmtId="0" fontId="19" fillId="9" borderId="3" xfId="0" applyFont="1" applyFill="1" applyBorder="1" applyAlignment="1">
      <alignment vertical="top" wrapText="1"/>
    </xf>
    <xf numFmtId="169" fontId="18" fillId="9" borderId="3" xfId="0" applyNumberFormat="1" applyFont="1" applyFill="1" applyBorder="1" applyAlignment="1">
      <alignment vertical="top" wrapText="1"/>
    </xf>
    <xf numFmtId="0" fontId="15" fillId="9" borderId="3" xfId="0" applyFont="1" applyFill="1" applyBorder="1" applyAlignment="1">
      <alignment vertical="top" wrapText="1"/>
    </xf>
    <xf numFmtId="0" fontId="14" fillId="9" borderId="0" xfId="0" applyFont="1" applyFill="1"/>
    <xf numFmtId="3" fontId="20" fillId="9" borderId="0" xfId="0" applyNumberFormat="1" applyFont="1" applyFill="1" applyAlignment="1">
      <alignment horizontal="right"/>
    </xf>
    <xf numFmtId="0" fontId="24" fillId="9" borderId="0" xfId="0" applyFont="1" applyFill="1" applyAlignment="1">
      <alignment horizontal="center"/>
    </xf>
    <xf numFmtId="0" fontId="18" fillId="9" borderId="0" xfId="0" applyFont="1" applyFill="1" applyAlignment="1">
      <alignment wrapText="1"/>
    </xf>
    <xf numFmtId="0" fontId="14" fillId="9" borderId="3" xfId="0" applyFont="1" applyFill="1" applyBorder="1"/>
    <xf numFmtId="164" fontId="20" fillId="9" borderId="3" xfId="0" applyNumberFormat="1" applyFont="1" applyFill="1" applyBorder="1" applyAlignment="1">
      <alignment horizontal="right"/>
    </xf>
    <xf numFmtId="171" fontId="3" fillId="11" borderId="3" xfId="0" applyNumberFormat="1" applyFont="1" applyFill="1" applyBorder="1" applyAlignment="1">
      <alignment horizontal="right"/>
    </xf>
    <xf numFmtId="0" fontId="24" fillId="9" borderId="3" xfId="0" applyFont="1" applyFill="1" applyBorder="1" applyAlignment="1">
      <alignment horizontal="center"/>
    </xf>
    <xf numFmtId="0" fontId="18" fillId="9" borderId="3" xfId="0" applyFont="1" applyFill="1" applyBorder="1" applyAlignment="1">
      <alignment wrapText="1"/>
    </xf>
    <xf numFmtId="165" fontId="3" fillId="11" borderId="3" xfId="0" applyNumberFormat="1" applyFont="1" applyFill="1" applyBorder="1" applyAlignment="1">
      <alignment horizontal="right"/>
    </xf>
    <xf numFmtId="170" fontId="20" fillId="9" borderId="3" xfId="0" applyNumberFormat="1" applyFont="1" applyFill="1" applyBorder="1" applyAlignment="1">
      <alignment horizontal="right"/>
    </xf>
    <xf numFmtId="164" fontId="3" fillId="11" borderId="3" xfId="0" applyNumberFormat="1" applyFont="1" applyFill="1" applyBorder="1" applyAlignment="1">
      <alignment horizontal="right"/>
    </xf>
    <xf numFmtId="164" fontId="3" fillId="8" borderId="2" xfId="0" applyNumberFormat="1" applyFont="1" applyFill="1" applyBorder="1" applyAlignment="1">
      <alignment horizontal="right"/>
    </xf>
    <xf numFmtId="0" fontId="14" fillId="6" borderId="0" xfId="0" applyFont="1" applyFill="1"/>
    <xf numFmtId="0" fontId="14" fillId="6" borderId="3" xfId="0" applyFont="1" applyFill="1" applyBorder="1"/>
    <xf numFmtId="3" fontId="3" fillId="9" borderId="0" xfId="0" applyNumberFormat="1" applyFont="1" applyFill="1" applyAlignment="1">
      <alignment horizontal="right"/>
    </xf>
    <xf numFmtId="0" fontId="16" fillId="9" borderId="0" xfId="0" applyFont="1" applyFill="1" applyAlignment="1">
      <alignment wrapText="1"/>
    </xf>
    <xf numFmtId="3" fontId="3" fillId="9" borderId="3" xfId="0" applyNumberFormat="1" applyFont="1" applyFill="1" applyBorder="1" applyAlignment="1">
      <alignment horizontal="right"/>
    </xf>
    <xf numFmtId="0" fontId="16" fillId="9" borderId="3" xfId="0" applyFont="1" applyFill="1" applyBorder="1" applyAlignment="1">
      <alignment wrapText="1"/>
    </xf>
    <xf numFmtId="170" fontId="3" fillId="9" borderId="3" xfId="0" applyNumberFormat="1" applyFont="1" applyFill="1" applyBorder="1" applyAlignment="1">
      <alignment horizontal="right"/>
    </xf>
    <xf numFmtId="0" fontId="14" fillId="6" borderId="6" xfId="0" applyFont="1" applyFill="1" applyBorder="1"/>
    <xf numFmtId="170" fontId="13" fillId="6" borderId="6" xfId="0" applyNumberFormat="1" applyFont="1" applyFill="1" applyBorder="1" applyAlignment="1">
      <alignment horizontal="right"/>
    </xf>
    <xf numFmtId="0" fontId="27" fillId="6" borderId="6" xfId="0" applyFont="1" applyFill="1" applyBorder="1" applyAlignment="1">
      <alignment wrapText="1"/>
    </xf>
    <xf numFmtId="164" fontId="3" fillId="6" borderId="3" xfId="0" applyNumberFormat="1" applyFont="1" applyFill="1" applyBorder="1" applyAlignment="1">
      <alignment horizontal="right"/>
    </xf>
    <xf numFmtId="171" fontId="3" fillId="6" borderId="3" xfId="0" applyNumberFormat="1" applyFont="1" applyFill="1" applyBorder="1" applyAlignment="1">
      <alignment horizontal="right"/>
    </xf>
    <xf numFmtId="171" fontId="3" fillId="8" borderId="2" xfId="0" applyNumberFormat="1" applyFont="1" applyFill="1" applyBorder="1" applyAlignment="1">
      <alignment horizontal="right"/>
    </xf>
    <xf numFmtId="0" fontId="24" fillId="9" borderId="0" xfId="0" applyFont="1" applyFill="1"/>
    <xf numFmtId="0" fontId="15" fillId="9" borderId="0" xfId="0" applyFont="1" applyFill="1" applyAlignment="1">
      <alignment wrapText="1"/>
    </xf>
    <xf numFmtId="0" fontId="15" fillId="9" borderId="3" xfId="0" applyFont="1" applyFill="1" applyBorder="1" applyAlignment="1">
      <alignment wrapText="1"/>
    </xf>
    <xf numFmtId="0" fontId="14" fillId="6" borderId="0" xfId="0" applyFont="1" applyFill="1" applyAlignment="1">
      <alignment wrapText="1"/>
    </xf>
    <xf numFmtId="2" fontId="17" fillId="9" borderId="0" xfId="0" applyNumberFormat="1" applyFont="1" applyFill="1"/>
    <xf numFmtId="164" fontId="17" fillId="9" borderId="0" xfId="0" applyNumberFormat="1" applyFont="1" applyFill="1"/>
    <xf numFmtId="2" fontId="3" fillId="9" borderId="0" xfId="0" applyNumberFormat="1" applyFont="1" applyFill="1"/>
    <xf numFmtId="0" fontId="17" fillId="9" borderId="0" xfId="0" applyFont="1" applyFill="1"/>
    <xf numFmtId="2" fontId="17" fillId="9" borderId="3" xfId="0" applyNumberFormat="1" applyFont="1" applyFill="1" applyBorder="1"/>
    <xf numFmtId="164" fontId="17" fillId="9" borderId="3" xfId="0" applyNumberFormat="1" applyFont="1" applyFill="1" applyBorder="1"/>
    <xf numFmtId="2" fontId="3" fillId="9" borderId="3" xfId="0" applyNumberFormat="1" applyFont="1" applyFill="1" applyBorder="1"/>
    <xf numFmtId="0" fontId="17" fillId="9" borderId="3" xfId="0" applyFont="1" applyFill="1" applyBorder="1"/>
    <xf numFmtId="2" fontId="17" fillId="9" borderId="2" xfId="0" applyNumberFormat="1" applyFont="1" applyFill="1" applyBorder="1"/>
    <xf numFmtId="2" fontId="3" fillId="9" borderId="2" xfId="0" applyNumberFormat="1" applyFont="1" applyFill="1" applyBorder="1"/>
    <xf numFmtId="0" fontId="17" fillId="9" borderId="2" xfId="0" applyFont="1" applyFill="1" applyBorder="1"/>
    <xf numFmtId="0" fontId="16" fillId="9" borderId="2" xfId="0" applyFont="1" applyFill="1" applyBorder="1" applyAlignment="1">
      <alignment wrapText="1"/>
    </xf>
    <xf numFmtId="164" fontId="13" fillId="6" borderId="0" xfId="0" applyNumberFormat="1" applyFont="1" applyFill="1"/>
    <xf numFmtId="164" fontId="13" fillId="8" borderId="0" xfId="0" applyNumberFormat="1" applyFont="1" applyFill="1"/>
    <xf numFmtId="0" fontId="11" fillId="7" borderId="0" xfId="0" applyFont="1" applyFill="1" applyAlignment="1">
      <alignment wrapText="1"/>
    </xf>
    <xf numFmtId="0" fontId="20" fillId="9" borderId="3" xfId="0" applyFont="1" applyFill="1" applyBorder="1" applyAlignment="1">
      <alignment wrapText="1"/>
    </xf>
    <xf numFmtId="17" fontId="15" fillId="9" borderId="3" xfId="0" applyNumberFormat="1" applyFont="1" applyFill="1" applyBorder="1" applyAlignment="1">
      <alignment wrapText="1"/>
    </xf>
    <xf numFmtId="0" fontId="17" fillId="9" borderId="3" xfId="0" applyFont="1" applyFill="1" applyBorder="1" applyAlignment="1">
      <alignment wrapText="1"/>
    </xf>
    <xf numFmtId="0" fontId="14" fillId="9" borderId="2" xfId="0" applyFont="1" applyFill="1" applyBorder="1"/>
    <xf numFmtId="164" fontId="13" fillId="9" borderId="0" xfId="0" applyNumberFormat="1" applyFont="1" applyFill="1" applyAlignment="1">
      <alignment horizontal="right"/>
    </xf>
    <xf numFmtId="170" fontId="13" fillId="9" borderId="3" xfId="0" applyNumberFormat="1" applyFont="1" applyFill="1" applyBorder="1" applyAlignment="1">
      <alignment horizontal="right"/>
    </xf>
    <xf numFmtId="170" fontId="13" fillId="6" borderId="3" xfId="0" applyNumberFormat="1" applyFont="1" applyFill="1" applyBorder="1" applyAlignment="1">
      <alignment horizontal="right"/>
    </xf>
    <xf numFmtId="0" fontId="14" fillId="8" borderId="2" xfId="0" applyFont="1" applyFill="1" applyBorder="1"/>
    <xf numFmtId="167" fontId="28" fillId="8" borderId="2" xfId="0" applyNumberFormat="1" applyFont="1" applyFill="1" applyBorder="1" applyAlignment="1">
      <alignment horizontal="right"/>
    </xf>
    <xf numFmtId="0" fontId="13" fillId="9" borderId="0" xfId="0" applyFont="1" applyFill="1"/>
    <xf numFmtId="170" fontId="3" fillId="9" borderId="0" xfId="0" applyNumberFormat="1" applyFont="1" applyFill="1" applyAlignment="1">
      <alignment horizontal="right"/>
    </xf>
    <xf numFmtId="0" fontId="13" fillId="9" borderId="5" xfId="0" applyFont="1" applyFill="1" applyBorder="1"/>
    <xf numFmtId="170" fontId="13" fillId="9" borderId="5" xfId="0" applyNumberFormat="1" applyFont="1" applyFill="1" applyBorder="1" applyAlignment="1">
      <alignment horizontal="right"/>
    </xf>
    <xf numFmtId="0" fontId="27" fillId="9" borderId="5" xfId="0" applyFont="1" applyFill="1" applyBorder="1" applyAlignment="1">
      <alignment wrapText="1"/>
    </xf>
    <xf numFmtId="170" fontId="13" fillId="9" borderId="0" xfId="0" applyNumberFormat="1" applyFont="1" applyFill="1"/>
    <xf numFmtId="168" fontId="13" fillId="9" borderId="3" xfId="0" applyNumberFormat="1" applyFont="1" applyFill="1" applyBorder="1"/>
    <xf numFmtId="164" fontId="13" fillId="8" borderId="2" xfId="0" applyNumberFormat="1" applyFont="1" applyFill="1" applyBorder="1"/>
    <xf numFmtId="164" fontId="13" fillId="9" borderId="0" xfId="0" applyNumberFormat="1" applyFont="1" applyFill="1"/>
    <xf numFmtId="164" fontId="13" fillId="9" borderId="3" xfId="0" applyNumberFormat="1" applyFont="1" applyFill="1" applyBorder="1"/>
    <xf numFmtId="0" fontId="11" fillId="7" borderId="7" xfId="0" applyFont="1" applyFill="1" applyBorder="1" applyAlignment="1">
      <alignment horizontal="center"/>
    </xf>
    <xf numFmtId="164" fontId="11" fillId="7" borderId="8" xfId="0" applyNumberFormat="1" applyFont="1" applyFill="1" applyBorder="1" applyAlignment="1">
      <alignment horizontal="center"/>
    </xf>
    <xf numFmtId="164" fontId="11" fillId="7" borderId="9" xfId="0" applyNumberFormat="1" applyFont="1" applyFill="1" applyBorder="1" applyAlignment="1">
      <alignment horizontal="center"/>
    </xf>
    <xf numFmtId="164" fontId="13" fillId="6" borderId="10" xfId="0" applyNumberFormat="1" applyFont="1" applyFill="1" applyBorder="1"/>
    <xf numFmtId="3" fontId="13" fillId="8" borderId="11" xfId="0" applyNumberFormat="1" applyFont="1" applyFill="1" applyBorder="1" applyAlignment="1">
      <alignment horizontal="right"/>
    </xf>
    <xf numFmtId="167" fontId="13" fillId="8" borderId="11" xfId="0" applyNumberFormat="1" applyFont="1" applyFill="1" applyBorder="1" applyAlignment="1">
      <alignment horizontal="right"/>
    </xf>
    <xf numFmtId="3" fontId="13" fillId="9" borderId="0" xfId="0" applyNumberFormat="1" applyFont="1" applyFill="1"/>
    <xf numFmtId="167" fontId="13" fillId="9" borderId="3" xfId="0" applyNumberFormat="1" applyFont="1" applyFill="1" applyBorder="1"/>
    <xf numFmtId="164" fontId="13" fillId="9" borderId="2" xfId="0" applyNumberFormat="1" applyFont="1" applyFill="1" applyBorder="1"/>
    <xf numFmtId="0" fontId="11" fillId="7" borderId="0" xfId="0" applyFont="1" applyFill="1" applyAlignment="1">
      <alignment horizontal="center" wrapText="1"/>
    </xf>
    <xf numFmtId="165" fontId="17" fillId="9" borderId="0" xfId="0" applyNumberFormat="1" applyFont="1" applyFill="1"/>
    <xf numFmtId="0" fontId="13" fillId="9" borderId="0" xfId="0" applyFont="1" applyFill="1" applyAlignment="1">
      <alignment horizontal="center"/>
    </xf>
    <xf numFmtId="0" fontId="23" fillId="9" borderId="0" xfId="0" applyFont="1" applyFill="1" applyAlignment="1">
      <alignment wrapText="1"/>
    </xf>
    <xf numFmtId="0" fontId="3" fillId="8" borderId="3" xfId="0" applyFont="1" applyFill="1" applyBorder="1"/>
    <xf numFmtId="0" fontId="3" fillId="8" borderId="3" xfId="0" applyFont="1" applyFill="1" applyBorder="1" applyAlignment="1">
      <alignment wrapText="1"/>
    </xf>
    <xf numFmtId="165" fontId="17" fillId="8" borderId="3" xfId="0" applyNumberFormat="1" applyFont="1" applyFill="1" applyBorder="1"/>
    <xf numFmtId="0" fontId="13" fillId="8" borderId="3" xfId="0" applyFont="1" applyFill="1" applyBorder="1" applyAlignment="1">
      <alignment horizontal="center"/>
    </xf>
    <xf numFmtId="0" fontId="17" fillId="8" borderId="3" xfId="0" applyFont="1" applyFill="1" applyBorder="1"/>
    <xf numFmtId="0" fontId="23" fillId="8" borderId="3" xfId="0" applyFont="1" applyFill="1" applyBorder="1" applyAlignment="1">
      <alignment wrapText="1"/>
    </xf>
    <xf numFmtId="0" fontId="13" fillId="9" borderId="3" xfId="0" applyFont="1" applyFill="1" applyBorder="1"/>
    <xf numFmtId="165" fontId="17" fillId="9" borderId="3" xfId="0" applyNumberFormat="1" applyFont="1" applyFill="1" applyBorder="1"/>
    <xf numFmtId="0" fontId="13" fillId="9" borderId="3" xfId="0" applyFont="1" applyFill="1" applyBorder="1" applyAlignment="1">
      <alignment horizontal="center"/>
    </xf>
    <xf numFmtId="0" fontId="23" fillId="9" borderId="3" xfId="0" applyFont="1" applyFill="1" applyBorder="1" applyAlignment="1">
      <alignment wrapText="1"/>
    </xf>
    <xf numFmtId="165" fontId="17" fillId="9" borderId="2" xfId="0" applyNumberFormat="1" applyFont="1" applyFill="1" applyBorder="1"/>
    <xf numFmtId="0" fontId="13" fillId="9" borderId="2" xfId="0" applyFont="1" applyFill="1" applyBorder="1" applyAlignment="1">
      <alignment horizontal="center"/>
    </xf>
    <xf numFmtId="165" fontId="13" fillId="9" borderId="3" xfId="0" applyNumberFormat="1" applyFont="1" applyFill="1" applyBorder="1"/>
    <xf numFmtId="165" fontId="21" fillId="9" borderId="3" xfId="0" applyNumberFormat="1" applyFont="1" applyFill="1" applyBorder="1"/>
    <xf numFmtId="3" fontId="13" fillId="9" borderId="3" xfId="0" applyNumberFormat="1" applyFont="1" applyFill="1" applyBorder="1"/>
    <xf numFmtId="3" fontId="13" fillId="6" borderId="3" xfId="0" applyNumberFormat="1" applyFont="1" applyFill="1" applyBorder="1"/>
    <xf numFmtId="3" fontId="13" fillId="6" borderId="2" xfId="0" applyNumberFormat="1" applyFont="1" applyFill="1" applyBorder="1"/>
    <xf numFmtId="167" fontId="13" fillId="8" borderId="2" xfId="0" applyNumberFormat="1" applyFont="1" applyFill="1" applyBorder="1"/>
    <xf numFmtId="3" fontId="30" fillId="9" borderId="13" xfId="0" applyNumberFormat="1" applyFont="1" applyFill="1" applyBorder="1" applyAlignment="1">
      <alignment horizontal="right" vertical="center"/>
    </xf>
    <xf numFmtId="0" fontId="31" fillId="9" borderId="13" xfId="0" applyFont="1" applyFill="1" applyBorder="1" applyAlignment="1">
      <alignment vertical="center" wrapText="1"/>
    </xf>
    <xf numFmtId="3" fontId="31" fillId="9" borderId="13" xfId="0" applyNumberFormat="1" applyFont="1" applyFill="1" applyBorder="1" applyAlignment="1">
      <alignment horizontal="right" vertical="center"/>
    </xf>
    <xf numFmtId="172" fontId="31" fillId="9" borderId="13" xfId="0" applyNumberFormat="1" applyFont="1" applyFill="1" applyBorder="1" applyAlignment="1">
      <alignment horizontal="right" vertical="center"/>
    </xf>
    <xf numFmtId="0" fontId="4" fillId="6" borderId="13" xfId="0" applyFont="1" applyFill="1" applyBorder="1" applyAlignment="1">
      <alignment horizontal="center" vertical="center" wrapText="1"/>
    </xf>
    <xf numFmtId="0" fontId="14" fillId="6" borderId="13" xfId="0" applyFont="1" applyFill="1" applyBorder="1" applyAlignment="1">
      <alignment horizontal="center" wrapText="1"/>
    </xf>
    <xf numFmtId="1" fontId="30" fillId="0" borderId="13" xfId="0" applyNumberFormat="1" applyFont="1" applyBorder="1" applyAlignment="1">
      <alignment horizontal="center" vertical="center" wrapText="1"/>
    </xf>
    <xf numFmtId="0" fontId="14" fillId="0" borderId="3" xfId="0" applyFont="1" applyBorder="1" applyAlignment="1">
      <alignment wrapText="1"/>
    </xf>
    <xf numFmtId="0" fontId="14" fillId="9" borderId="3" xfId="0" applyFont="1" applyFill="1" applyBorder="1" applyAlignment="1">
      <alignment wrapText="1"/>
    </xf>
    <xf numFmtId="0" fontId="13" fillId="9" borderId="0" xfId="0" applyFont="1" applyFill="1" applyAlignment="1">
      <alignment wrapText="1"/>
    </xf>
    <xf numFmtId="0" fontId="13" fillId="8" borderId="3" xfId="0" applyFont="1" applyFill="1" applyBorder="1" applyAlignment="1">
      <alignment wrapText="1"/>
    </xf>
    <xf numFmtId="0" fontId="11" fillId="2" borderId="0" xfId="0" applyFont="1" applyFill="1" applyAlignment="1">
      <alignment wrapText="1"/>
    </xf>
    <xf numFmtId="0" fontId="11" fillId="7" borderId="0" xfId="0" applyFont="1" applyFill="1" applyAlignment="1">
      <alignment vertical="center"/>
    </xf>
    <xf numFmtId="0" fontId="11" fillId="7" borderId="0" xfId="0" applyFont="1" applyFill="1"/>
    <xf numFmtId="0" fontId="4" fillId="6" borderId="13" xfId="0" applyFont="1" applyFill="1" applyBorder="1" applyAlignment="1">
      <alignment horizontal="center" vertical="center" wrapText="1"/>
    </xf>
    <xf numFmtId="0" fontId="30" fillId="0" borderId="13" xfId="0" applyFont="1" applyBorder="1" applyAlignment="1">
      <alignment vertical="center" wrapText="1"/>
    </xf>
    <xf numFmtId="0" fontId="30" fillId="8" borderId="13" xfId="0" applyFont="1" applyFill="1" applyBorder="1" applyAlignment="1">
      <alignment vertical="center" wrapText="1"/>
    </xf>
    <xf numFmtId="0" fontId="12" fillId="2" borderId="0" xfId="0" applyFont="1" applyFill="1" applyAlignment="1">
      <alignment vertical="center"/>
    </xf>
    <xf numFmtId="0" fontId="32" fillId="6" borderId="0" xfId="0" applyFont="1" applyFill="1" applyAlignment="1">
      <alignment vertical="center"/>
    </xf>
    <xf numFmtId="0" fontId="9" fillId="9" borderId="2" xfId="0" applyFont="1" applyFill="1" applyBorder="1" applyAlignment="1">
      <alignment vertical="center" wrapText="1"/>
    </xf>
    <xf numFmtId="0" fontId="10" fillId="8" borderId="0" xfId="0" applyFont="1" applyFill="1" applyAlignment="1">
      <alignment vertical="center" wrapText="1"/>
    </xf>
    <xf numFmtId="0" fontId="45" fillId="5" borderId="4" xfId="0" applyFont="1" applyFill="1" applyBorder="1" applyAlignment="1">
      <alignment vertical="center" wrapText="1"/>
    </xf>
    <xf numFmtId="0" fontId="9" fillId="9" borderId="3" xfId="0" applyFont="1" applyFill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9" borderId="0" xfId="0" applyFont="1" applyFill="1" applyAlignment="1">
      <alignment vertical="center" wrapText="1"/>
    </xf>
    <xf numFmtId="0" fontId="5" fillId="9" borderId="1" xfId="0" applyFont="1" applyFill="1" applyBorder="1" applyAlignment="1">
      <alignment vertical="center" wrapText="1"/>
    </xf>
    <xf numFmtId="0" fontId="7" fillId="2" borderId="0" xfId="0" applyFont="1" applyFill="1" applyAlignment="1">
      <alignment vertical="center" wrapText="1"/>
    </xf>
    <xf numFmtId="15" fontId="5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32" fillId="6" borderId="0" xfId="0" applyFont="1" applyFill="1" applyAlignment="1">
      <alignment vertical="center" wrapText="1"/>
    </xf>
    <xf numFmtId="0" fontId="15" fillId="0" borderId="2" xfId="0" applyFont="1" applyBorder="1" applyAlignment="1">
      <alignment wrapText="1"/>
    </xf>
    <xf numFmtId="0" fontId="11" fillId="2" borderId="0" xfId="0" applyFont="1" applyFill="1"/>
    <xf numFmtId="0" fontId="16" fillId="0" borderId="2" xfId="0" applyFont="1" applyBorder="1" applyAlignment="1">
      <alignment wrapText="1"/>
    </xf>
    <xf numFmtId="0" fontId="15" fillId="9" borderId="2" xfId="0" applyFont="1" applyFill="1" applyBorder="1" applyAlignment="1">
      <alignment wrapText="1"/>
    </xf>
    <xf numFmtId="0" fontId="16" fillId="0" borderId="1" xfId="0" applyFont="1" applyBorder="1" applyAlignment="1">
      <alignment wrapText="1"/>
    </xf>
    <xf numFmtId="0" fontId="12" fillId="2" borderId="0" xfId="0" applyFont="1" applyFill="1"/>
    <xf numFmtId="0" fontId="32" fillId="6" borderId="0" xfId="0" applyFont="1" applyFill="1"/>
    <xf numFmtId="0" fontId="3" fillId="9" borderId="0" xfId="0" applyFont="1" applyFill="1"/>
    <xf numFmtId="0" fontId="11" fillId="7" borderId="0" xfId="0" applyFont="1" applyFill="1" applyAlignment="1">
      <alignment horizontal="center"/>
    </xf>
    <xf numFmtId="0" fontId="3" fillId="0" borderId="0" xfId="0" applyFont="1"/>
    <xf numFmtId="0" fontId="3" fillId="9" borderId="0" xfId="0" applyFont="1" applyFill="1" applyAlignment="1">
      <alignment wrapText="1"/>
    </xf>
    <xf numFmtId="0" fontId="47" fillId="8" borderId="0" xfId="0" applyFont="1" applyFill="1" applyAlignment="1">
      <alignment wrapText="1"/>
    </xf>
    <xf numFmtId="0" fontId="14" fillId="6" borderId="0" xfId="0" applyFont="1" applyFill="1"/>
    <xf numFmtId="164" fontId="25" fillId="5" borderId="0" xfId="0" applyNumberFormat="1" applyFont="1" applyFill="1" applyAlignment="1">
      <alignment horizontal="center"/>
    </xf>
    <xf numFmtId="0" fontId="25" fillId="5" borderId="0" xfId="0" applyFont="1" applyFill="1" applyAlignment="1">
      <alignment horizontal="center"/>
    </xf>
    <xf numFmtId="0" fontId="16" fillId="0" borderId="0" xfId="0" applyFont="1" applyAlignment="1">
      <alignment wrapText="1"/>
    </xf>
    <xf numFmtId="0" fontId="14" fillId="6" borderId="3" xfId="0" applyFont="1" applyFill="1" applyBorder="1"/>
    <xf numFmtId="164" fontId="25" fillId="5" borderId="3" xfId="0" applyNumberFormat="1" applyFont="1" applyFill="1" applyBorder="1" applyAlignment="1">
      <alignment horizontal="center"/>
    </xf>
    <xf numFmtId="0" fontId="25" fillId="5" borderId="3" xfId="0" applyFont="1" applyFill="1" applyBorder="1" applyAlignment="1">
      <alignment horizontal="center"/>
    </xf>
    <xf numFmtId="0" fontId="16" fillId="0" borderId="3" xfId="0" applyFont="1" applyBorder="1" applyAlignment="1">
      <alignment wrapText="1"/>
    </xf>
    <xf numFmtId="171" fontId="25" fillId="11" borderId="3" xfId="0" applyNumberFormat="1" applyFont="1" applyFill="1" applyBorder="1" applyAlignment="1">
      <alignment horizontal="center"/>
    </xf>
    <xf numFmtId="0" fontId="25" fillId="11" borderId="3" xfId="0" applyFont="1" applyFill="1" applyBorder="1" applyAlignment="1">
      <alignment horizontal="center"/>
    </xf>
    <xf numFmtId="0" fontId="26" fillId="8" borderId="0" xfId="0" applyFont="1" applyFill="1" applyAlignment="1">
      <alignment vertical="center" wrapText="1"/>
    </xf>
    <xf numFmtId="0" fontId="14" fillId="6" borderId="2" xfId="0" applyFont="1" applyFill="1" applyBorder="1"/>
    <xf numFmtId="165" fontId="25" fillId="11" borderId="2" xfId="0" applyNumberFormat="1" applyFont="1" applyFill="1" applyBorder="1" applyAlignment="1">
      <alignment horizontal="center"/>
    </xf>
    <xf numFmtId="0" fontId="25" fillId="11" borderId="2" xfId="0" applyFont="1" applyFill="1" applyBorder="1" applyAlignment="1">
      <alignment horizontal="center"/>
    </xf>
    <xf numFmtId="0" fontId="18" fillId="9" borderId="0" xfId="0" applyFont="1" applyFill="1" applyAlignment="1">
      <alignment vertical="center" wrapText="1"/>
    </xf>
    <xf numFmtId="0" fontId="16" fillId="9" borderId="0" xfId="0" applyFont="1" applyFill="1" applyAlignment="1">
      <alignment wrapText="1"/>
    </xf>
    <xf numFmtId="0" fontId="16" fillId="9" borderId="3" xfId="0" applyFont="1" applyFill="1" applyBorder="1" applyAlignment="1">
      <alignment wrapText="1"/>
    </xf>
    <xf numFmtId="0" fontId="15" fillId="9" borderId="0" xfId="0" applyFont="1" applyFill="1" applyAlignment="1">
      <alignment wrapText="1"/>
    </xf>
    <xf numFmtId="0" fontId="15" fillId="0" borderId="3" xfId="0" applyFont="1" applyBorder="1" applyAlignment="1">
      <alignment wrapText="1"/>
    </xf>
    <xf numFmtId="0" fontId="15" fillId="9" borderId="3" xfId="0" applyFont="1" applyFill="1" applyBorder="1" applyAlignment="1">
      <alignment wrapText="1"/>
    </xf>
    <xf numFmtId="0" fontId="15" fillId="0" borderId="0" xfId="0" applyFont="1" applyAlignment="1">
      <alignment wrapText="1"/>
    </xf>
    <xf numFmtId="0" fontId="23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6" fillId="6" borderId="3" xfId="0" applyFont="1" applyFill="1" applyBorder="1" applyAlignment="1">
      <alignment wrapText="1"/>
    </xf>
    <xf numFmtId="0" fontId="16" fillId="8" borderId="2" xfId="0" applyFont="1" applyFill="1" applyBorder="1" applyAlignment="1">
      <alignment wrapText="1"/>
    </xf>
    <xf numFmtId="0" fontId="15" fillId="8" borderId="2" xfId="0" applyFont="1" applyFill="1" applyBorder="1" applyAlignment="1">
      <alignment wrapText="1"/>
    </xf>
    <xf numFmtId="0" fontId="18" fillId="9" borderId="0" xfId="0" applyFont="1" applyFill="1" applyAlignment="1">
      <alignment wrapText="1"/>
    </xf>
    <xf numFmtId="0" fontId="16" fillId="9" borderId="2" xfId="0" applyFont="1" applyFill="1" applyBorder="1" applyAlignment="1">
      <alignment wrapText="1"/>
    </xf>
    <xf numFmtId="0" fontId="15" fillId="6" borderId="3" xfId="0" applyFont="1" applyFill="1" applyBorder="1" applyAlignment="1">
      <alignment wrapText="1"/>
    </xf>
    <xf numFmtId="0" fontId="15" fillId="6" borderId="2" xfId="0" applyFont="1" applyFill="1" applyBorder="1" applyAlignment="1">
      <alignment wrapText="1"/>
    </xf>
    <xf numFmtId="0" fontId="30" fillId="10" borderId="13" xfId="0" applyFont="1" applyFill="1" applyBorder="1" applyAlignment="1">
      <alignment vertical="center" wrapText="1"/>
    </xf>
    <xf numFmtId="0" fontId="34" fillId="8" borderId="0" xfId="0" applyFont="1" applyFill="1" applyAlignment="1">
      <alignment vertical="center" wrapText="1"/>
    </xf>
    <xf numFmtId="0" fontId="35" fillId="9" borderId="0" xfId="0" applyFont="1" applyFill="1" applyAlignment="1">
      <alignment vertical="top" wrapText="1"/>
    </xf>
    <xf numFmtId="0" fontId="30" fillId="9" borderId="13" xfId="0" applyFont="1" applyFill="1" applyBorder="1" applyAlignment="1">
      <alignment vertical="center" wrapText="1"/>
    </xf>
    <xf numFmtId="0" fontId="31" fillId="5" borderId="13" xfId="0" applyFont="1" applyFill="1" applyBorder="1" applyAlignment="1">
      <alignment vertical="center" wrapText="1"/>
    </xf>
    <xf numFmtId="0" fontId="30" fillId="6" borderId="13" xfId="0" applyFont="1" applyFill="1" applyBorder="1" applyAlignment="1">
      <alignment vertical="center" wrapText="1"/>
    </xf>
    <xf numFmtId="173" fontId="37" fillId="9" borderId="13" xfId="0" applyNumberFormat="1" applyFont="1" applyFill="1" applyBorder="1" applyAlignment="1">
      <alignment horizontal="center" vertical="center"/>
    </xf>
    <xf numFmtId="164" fontId="37" fillId="9" borderId="13" xfId="0" applyNumberFormat="1" applyFont="1" applyFill="1" applyBorder="1" applyAlignment="1">
      <alignment horizontal="center" vertical="center"/>
    </xf>
    <xf numFmtId="0" fontId="40" fillId="5" borderId="0" xfId="0" applyFont="1" applyFill="1" applyAlignment="1">
      <alignment vertical="top" wrapText="1"/>
    </xf>
    <xf numFmtId="0" fontId="41" fillId="11" borderId="0" xfId="0" applyFont="1" applyFill="1" applyAlignment="1">
      <alignment vertical="top" wrapText="1"/>
    </xf>
    <xf numFmtId="0" fontId="33" fillId="8" borderId="0" xfId="0" applyFont="1" applyFill="1" applyAlignment="1">
      <alignment vertical="top" wrapText="1"/>
    </xf>
    <xf numFmtId="0" fontId="6" fillId="2" borderId="0" xfId="0" applyFont="1" applyFill="1" applyAlignment="1">
      <alignment vertical="center" wrapText="1"/>
    </xf>
    <xf numFmtId="0" fontId="35" fillId="9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39" fillId="5" borderId="13" xfId="0" applyFont="1" applyFill="1" applyBorder="1" applyAlignment="1">
      <alignment horizontal="center" vertical="center" wrapText="1"/>
    </xf>
    <xf numFmtId="0" fontId="38" fillId="9" borderId="13" xfId="0" applyFont="1" applyFill="1" applyBorder="1" applyAlignment="1">
      <alignment horizontal="center" vertical="center" wrapText="1"/>
    </xf>
    <xf numFmtId="173" fontId="20" fillId="3" borderId="2" xfId="0" applyNumberFormat="1" applyFont="1" applyFill="1" applyBorder="1"/>
    <xf numFmtId="174" fontId="20" fillId="3" borderId="2" xfId="0" applyNumberFormat="1" applyFont="1" applyFill="1" applyBorder="1"/>
    <xf numFmtId="0" fontId="0" fillId="0" borderId="0" xfId="0" applyBorder="1"/>
    <xf numFmtId="0" fontId="0" fillId="0" borderId="14" xfId="0" applyBorder="1"/>
    <xf numFmtId="0" fontId="49" fillId="0" borderId="0" xfId="0" applyFont="1" applyBorder="1"/>
    <xf numFmtId="175" fontId="51" fillId="12" borderId="15" xfId="0" applyNumberFormat="1" applyFont="1" applyFill="1" applyBorder="1"/>
    <xf numFmtId="0" fontId="50" fillId="12" borderId="15" xfId="0" applyFont="1" applyFill="1" applyBorder="1" applyAlignment="1">
      <alignment wrapText="1"/>
    </xf>
    <xf numFmtId="0" fontId="51" fillId="12" borderId="16" xfId="0" applyFont="1" applyFill="1" applyBorder="1"/>
    <xf numFmtId="0" fontId="50" fillId="12" borderId="17" xfId="0" applyFont="1" applyFill="1" applyBorder="1" applyAlignment="1">
      <alignment wrapText="1"/>
    </xf>
    <xf numFmtId="0" fontId="52" fillId="13" borderId="0" xfId="0" applyFont="1" applyFill="1" applyAlignment="1">
      <alignment wrapText="1"/>
    </xf>
    <xf numFmtId="0" fontId="51" fillId="12" borderId="22" xfId="0" applyFont="1" applyFill="1" applyBorder="1" applyAlignment="1">
      <alignment horizontal="center"/>
    </xf>
    <xf numFmtId="0" fontId="53" fillId="0" borderId="0" xfId="0" applyFont="1" applyAlignment="1">
      <alignment wrapText="1"/>
    </xf>
    <xf numFmtId="0" fontId="52" fillId="13" borderId="0" xfId="0" applyFont="1" applyFill="1" applyBorder="1" applyAlignment="1">
      <alignment vertical="top" wrapText="1"/>
    </xf>
    <xf numFmtId="0" fontId="52" fillId="13" borderId="18" xfId="0" applyFont="1" applyFill="1" applyBorder="1" applyAlignment="1">
      <alignment vertical="top" wrapText="1"/>
    </xf>
    <xf numFmtId="0" fontId="52" fillId="13" borderId="19" xfId="0" applyFont="1" applyFill="1" applyBorder="1" applyAlignment="1">
      <alignment vertical="top" wrapText="1"/>
    </xf>
    <xf numFmtId="0" fontId="52" fillId="13" borderId="20" xfId="0" applyFont="1" applyFill="1" applyBorder="1" applyAlignment="1">
      <alignment vertical="top" wrapText="1"/>
    </xf>
    <xf numFmtId="0" fontId="52" fillId="13" borderId="25" xfId="0" applyFont="1" applyFill="1" applyBorder="1" applyAlignment="1">
      <alignment vertical="top" wrapText="1"/>
    </xf>
    <xf numFmtId="0" fontId="52" fillId="13" borderId="21" xfId="0" applyFont="1" applyFill="1" applyBorder="1" applyAlignment="1">
      <alignment vertical="top" wrapText="1"/>
    </xf>
    <xf numFmtId="0" fontId="52" fillId="13" borderId="23" xfId="0" applyFont="1" applyFill="1" applyBorder="1" applyAlignment="1">
      <alignment vertical="top" wrapText="1"/>
    </xf>
    <xf numFmtId="0" fontId="52" fillId="13" borderId="26" xfId="0" applyFont="1" applyFill="1" applyBorder="1" applyAlignment="1">
      <alignment vertical="top" wrapText="1"/>
    </xf>
    <xf numFmtId="0" fontId="52" fillId="13" borderId="24" xfId="0" applyFont="1" applyFill="1" applyBorder="1" applyAlignment="1">
      <alignment vertical="top" wrapText="1"/>
    </xf>
    <xf numFmtId="0" fontId="30" fillId="0" borderId="0" xfId="0" applyFont="1" applyAlignment="1">
      <alignment vertical="center" wrapText="1"/>
    </xf>
    <xf numFmtId="177" fontId="25" fillId="0" borderId="22" xfId="0" applyNumberFormat="1" applyFont="1" applyBorder="1" applyAlignment="1">
      <alignment horizontal="center"/>
    </xf>
    <xf numFmtId="173" fontId="13" fillId="9" borderId="3" xfId="0" applyNumberFormat="1" applyFont="1" applyFill="1" applyBorder="1" applyAlignment="1">
      <alignment horizontal="right"/>
    </xf>
    <xf numFmtId="173" fontId="13" fillId="6" borderId="3" xfId="0" applyNumberFormat="1" applyFont="1" applyFill="1" applyBorder="1" applyAlignment="1">
      <alignment horizontal="right"/>
    </xf>
    <xf numFmtId="174" fontId="13" fillId="9" borderId="3" xfId="0" applyNumberFormat="1" applyFont="1" applyFill="1" applyBorder="1" applyAlignment="1">
      <alignment horizontal="right"/>
    </xf>
    <xf numFmtId="0" fontId="54" fillId="8" borderId="13" xfId="0" applyFont="1" applyFill="1" applyBorder="1" applyAlignment="1">
      <alignment horizontal="center" vertical="center" wrapText="1"/>
    </xf>
    <xf numFmtId="0" fontId="11" fillId="7" borderId="0" xfId="0" applyFont="1" applyFill="1" applyAlignment="1">
      <alignment vertical="center" wrapText="1"/>
    </xf>
    <xf numFmtId="0" fontId="11" fillId="7" borderId="0" xfId="0" applyFont="1" applyFill="1" applyBorder="1" applyAlignment="1">
      <alignment horizontal="center"/>
    </xf>
    <xf numFmtId="0" fontId="49" fillId="0" borderId="0" xfId="0" applyFont="1" applyBorder="1"/>
    <xf numFmtId="0" fontId="48" fillId="0" borderId="2" xfId="1" applyBorder="1" applyAlignment="1">
      <alignment vertical="top" wrapText="1"/>
    </xf>
    <xf numFmtId="0" fontId="48" fillId="9" borderId="3" xfId="1" applyFill="1" applyBorder="1" applyAlignment="1">
      <alignment vertical="top" wrapText="1"/>
    </xf>
    <xf numFmtId="0" fontId="48" fillId="0" borderId="3" xfId="1" applyBorder="1" applyAlignment="1">
      <alignment vertical="top" wrapText="1"/>
    </xf>
    <xf numFmtId="0" fontId="48" fillId="9" borderId="0" xfId="1" applyFill="1" applyAlignment="1">
      <alignment vertical="top" wrapText="1"/>
    </xf>
    <xf numFmtId="0" fontId="55" fillId="9" borderId="0" xfId="0" applyFont="1" applyFill="1" applyAlignment="1">
      <alignment wrapText="1"/>
    </xf>
    <xf numFmtId="0" fontId="16" fillId="0" borderId="0" xfId="0" applyFont="1" applyBorder="1" applyAlignment="1">
      <alignment wrapText="1"/>
    </xf>
    <xf numFmtId="0" fontId="16" fillId="9" borderId="0" xfId="0" applyFont="1" applyFill="1" applyBorder="1" applyAlignment="1">
      <alignment wrapText="1"/>
    </xf>
    <xf numFmtId="0" fontId="14" fillId="0" borderId="2" xfId="0" applyFont="1" applyBorder="1" applyAlignment="1">
      <alignment wrapText="1"/>
    </xf>
    <xf numFmtId="0" fontId="14" fillId="8" borderId="2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13">
    <dxf>
      <fill>
        <patternFill patternType="solid">
          <fgColor indexed="64"/>
          <bgColor rgb="FFDDEBF7"/>
        </patternFill>
      </fill>
    </dxf>
    <dxf>
      <font>
        <b/>
        <i val="0"/>
      </font>
      <fill>
        <patternFill patternType="solid">
          <fgColor indexed="64"/>
          <bgColor rgb="FFDDEBF7"/>
        </patternFill>
      </fill>
    </dxf>
    <dxf>
      <font>
        <name val="Aptos"/>
      </font>
      <alignment wrapText="1"/>
    </dxf>
    <dxf>
      <font>
        <name val="Aptos"/>
      </font>
      <alignment wrapText="1"/>
    </dxf>
    <dxf>
      <font>
        <color rgb="FF0563C1"/>
        <name val="Aptos"/>
      </font>
      <alignment wrapText="1"/>
    </dxf>
    <dxf>
      <font>
        <name val="Aptos"/>
      </font>
      <alignment wrapText="1"/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A6A6"/>
      <rgbColor rgb="FFA9D18E"/>
      <rgbColor rgb="FF7F7F7F"/>
      <rgbColor rgb="FFA5A5A5"/>
      <rgbColor rgb="FF7030A0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D9EAD3"/>
      <rgbColor rgb="FFFFFF99"/>
      <rgbColor rgb="FF70AD47"/>
      <rgbColor rgb="FFFF99CC"/>
      <rgbColor rgb="FFCC99FF"/>
      <rgbColor rgb="FFF4CCCC"/>
      <rgbColor rgb="FF4472C4"/>
      <rgbColor rgb="FF5B9BD5"/>
      <rgbColor rgb="FF9BBB59"/>
      <rgbColor rgb="FFFFC000"/>
      <rgbColor rgb="FFFF9900"/>
      <rgbColor rgb="FFED7D31"/>
      <rgbColor rgb="FF8064A2"/>
      <rgbColor rgb="FF878787"/>
      <rgbColor rgb="FF1F4E78"/>
      <rgbColor rgb="FF4F81BD"/>
      <rgbColor rgb="FF003300"/>
      <rgbColor rgb="FF333300"/>
      <rgbColor rgb="FFC65911"/>
      <rgbColor rgb="FFC0504D"/>
      <rgbColor rgb="FF2644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7365D"/>
                </a:solidFill>
                <a:latin typeface="Aptos"/>
                <a:ea typeface="Aptos"/>
                <a:cs typeface="Aptos"/>
              </a:defRPr>
            </a:pPr>
            <a:r>
              <a:rPr lang="en-US"/>
              <a:t>Enterprise Value Range by Method (€m)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7365D"/>
              </a:solidFill>
              <a:latin typeface="Aptos"/>
              <a:ea typeface="Aptos"/>
              <a:cs typeface="Apto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Chart start</c:v>
          </c:tx>
          <c:spPr>
            <a:noFill/>
            <a:ln w="25400">
              <a:noFill/>
            </a:ln>
            <a:effectLst/>
          </c:spPr>
          <c:invertIfNegative val="0"/>
          <c:cat>
            <c:strRef>
              <c:f>Football_Field!$A$6:$A$8</c:f>
              <c:strCache>
                <c:ptCount val="3"/>
                <c:pt idx="0">
                  <c:v>DCF sensitivity band</c:v>
                </c:pt>
                <c:pt idx="1">
                  <c:v>Comps EV / EBITDA core range</c:v>
                </c:pt>
                <c:pt idx="2">
                  <c:v>Blended fair value range</c:v>
                </c:pt>
              </c:strCache>
            </c:strRef>
          </c:cat>
          <c:val>
            <c:numRef>
              <c:f>Football_Field!$D$6:$D$8</c:f>
              <c:numCache>
                <c:formatCode>#,##0</c:formatCode>
                <c:ptCount val="3"/>
                <c:pt idx="0">
                  <c:v>10091.447023277391</c:v>
                </c:pt>
                <c:pt idx="1">
                  <c:v>5976.4250000000002</c:v>
                </c:pt>
                <c:pt idx="2">
                  <c:v>8445.438213966434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3F-4A3E-A21E-8C89A0D62468}"/>
            </c:ext>
          </c:extLst>
        </c:ser>
        <c:ser>
          <c:idx val="1"/>
          <c:order val="1"/>
          <c:tx>
            <c:v>Valuation range</c:v>
          </c:tx>
          <c:spPr>
            <a:solidFill>
              <a:schemeClr val="accent2"/>
            </a:solidFill>
            <a:ln w="9525">
              <a:solidFill>
                <a:srgbClr val="FFFFFF"/>
              </a:solidFill>
              <a:prstDash val="solid"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472C4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2-673F-4A3E-A21E-8C89A0D62468}"/>
              </c:ext>
            </c:extLst>
          </c:dPt>
          <c:dPt>
            <c:idx val="1"/>
            <c:invertIfNegative val="0"/>
            <c:bubble3D val="0"/>
            <c:spPr>
              <a:solidFill>
                <a:srgbClr val="A5A5A5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673F-4A3E-A21E-8C89A0D62468}"/>
              </c:ext>
            </c:extLst>
          </c:dPt>
          <c:dPt>
            <c:idx val="2"/>
            <c:invertIfNegative val="0"/>
            <c:bubble3D val="0"/>
            <c:spPr>
              <a:solidFill>
                <a:srgbClr val="00A6A6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4-673F-4A3E-A21E-8C89A0D62468}"/>
              </c:ext>
            </c:extLst>
          </c:dPt>
          <c:cat>
            <c:strRef>
              <c:f>Football_Field!$A$6:$A$8</c:f>
              <c:strCache>
                <c:ptCount val="3"/>
                <c:pt idx="0">
                  <c:v>DCF sensitivity band</c:v>
                </c:pt>
                <c:pt idx="1">
                  <c:v>Comps EV / EBITDA core range</c:v>
                </c:pt>
                <c:pt idx="2">
                  <c:v>Blended fair value range</c:v>
                </c:pt>
              </c:strCache>
            </c:strRef>
          </c:cat>
          <c:val>
            <c:numRef>
              <c:f>Football_Field!$E$6:$E$8</c:f>
              <c:numCache>
                <c:formatCode>#,##0</c:formatCode>
                <c:ptCount val="3"/>
                <c:pt idx="0">
                  <c:v>4025.4588095460367</c:v>
                </c:pt>
                <c:pt idx="1">
                  <c:v>2988.2125000000005</c:v>
                </c:pt>
                <c:pt idx="2">
                  <c:v>3610.5602857276244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3F-4A3E-A21E-8C89A0D62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37601680"/>
        <c:axId val="1889748991"/>
      </c:barChart>
      <c:catAx>
        <c:axId val="1037601680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Valuation method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374151"/>
                </a:solidFill>
                <a:latin typeface="Aptos"/>
                <a:ea typeface="Aptos"/>
                <a:cs typeface="Aptos"/>
              </a:defRPr>
            </a:pPr>
            <a:endParaRPr lang="en-US"/>
          </a:p>
        </c:txPr>
        <c:crossAx val="1889748991"/>
        <c:crosses val="autoZero"/>
        <c:auto val="1"/>
        <c:lblAlgn val="ctr"/>
        <c:lblOffset val="100"/>
        <c:noMultiLvlLbl val="0"/>
      </c:catAx>
      <c:valAx>
        <c:axId val="188974899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/>
                    <a:ea typeface="Aptos"/>
                    <a:cs typeface="Aptos"/>
                  </a:defRPr>
                </a:pPr>
                <a:r>
                  <a:rPr lang="en-US"/>
                  <a:t>Enterprise value (€m)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/>
                  <a:ea typeface="Aptos"/>
                  <a:cs typeface="Apto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B6573"/>
                </a:solidFill>
                <a:latin typeface="Aptos"/>
                <a:ea typeface="Aptos"/>
                <a:cs typeface="Aptos"/>
              </a:defRPr>
            </a:pPr>
            <a:endParaRPr lang="en-US"/>
          </a:p>
        </c:txPr>
        <c:crossAx val="1037601680"/>
        <c:crosses val="autoZero"/>
        <c:crossBetween val="between"/>
        <c:majorUnit val="2000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7365D"/>
                </a:solidFill>
                <a:latin typeface="Aptos"/>
                <a:ea typeface="Aptos"/>
                <a:cs typeface="Aptos"/>
              </a:defRPr>
            </a:pPr>
            <a:r>
              <a:rPr lang="en-US"/>
              <a:t>Forecast Revenue and Adjusted EBITDA (€m)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7365D"/>
              </a:solidFill>
              <a:latin typeface="Aptos"/>
              <a:ea typeface="Aptos"/>
              <a:cs typeface="Apto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/>
                    <a:ea typeface="Aptos"/>
                    <a:cs typeface="Apto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Charts!$B$5:$F$5</c:f>
              <c:strCache>
                <c:ptCount val="5"/>
                <c:pt idx="0">
                  <c:v>FY2026E</c:v>
                </c:pt>
                <c:pt idx="1">
                  <c:v>FY2027E</c:v>
                </c:pt>
                <c:pt idx="2">
                  <c:v>FY2028E</c:v>
                </c:pt>
                <c:pt idx="3">
                  <c:v>FY2029E</c:v>
                </c:pt>
                <c:pt idx="4">
                  <c:v>FY2030E</c:v>
                </c:pt>
              </c:strCache>
            </c:strRef>
          </c:cat>
          <c:val>
            <c:numRef>
              <c:f>Charts!$B$6:$F$6</c:f>
              <c:numCache>
                <c:formatCode>#,##0;[Red]\(#,##0\);\-</c:formatCode>
                <c:ptCount val="5"/>
                <c:pt idx="0">
                  <c:v>2627</c:v>
                </c:pt>
                <c:pt idx="1">
                  <c:v>2666.4049999999997</c:v>
                </c:pt>
                <c:pt idx="2">
                  <c:v>2719.7330999999999</c:v>
                </c:pt>
                <c:pt idx="3">
                  <c:v>2787.7264274999998</c:v>
                </c:pt>
                <c:pt idx="4">
                  <c:v>2857.4195881874994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B7-450F-BCD8-5ED8094C6FA8}"/>
            </c:ext>
          </c:extLst>
        </c:ser>
        <c:ser>
          <c:idx val="1"/>
          <c:order val="1"/>
          <c:tx>
            <c:v>Adjusted EBITDA</c:v>
          </c:tx>
          <c:spPr>
            <a:solidFill>
              <a:srgbClr val="00A6A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/>
                    <a:ea typeface="Aptos"/>
                    <a:cs typeface="Apto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Charts!$B$5:$F$5</c:f>
              <c:strCache>
                <c:ptCount val="5"/>
                <c:pt idx="0">
                  <c:v>FY2026E</c:v>
                </c:pt>
                <c:pt idx="1">
                  <c:v>FY2027E</c:v>
                </c:pt>
                <c:pt idx="2">
                  <c:v>FY2028E</c:v>
                </c:pt>
                <c:pt idx="3">
                  <c:v>FY2029E</c:v>
                </c:pt>
                <c:pt idx="4">
                  <c:v>FY2030E</c:v>
                </c:pt>
              </c:strCache>
            </c:strRef>
          </c:cat>
          <c:val>
            <c:numRef>
              <c:f>Charts!$B$7:$F$7</c:f>
              <c:numCache>
                <c:formatCode>#,##0;[Red]\(#,##0\);\-</c:formatCode>
                <c:ptCount val="5"/>
                <c:pt idx="0">
                  <c:v>1195.2850000000001</c:v>
                </c:pt>
                <c:pt idx="1">
                  <c:v>1253.2103499999998</c:v>
                </c:pt>
                <c:pt idx="2">
                  <c:v>1305.4718879999998</c:v>
                </c:pt>
                <c:pt idx="3">
                  <c:v>1352.0473173374999</c:v>
                </c:pt>
                <c:pt idx="4">
                  <c:v>1400.1355982118746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B7-450F-BCD8-5ED8094C6F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5834128"/>
        <c:axId val="1926664063"/>
      </c:barChart>
      <c:catAx>
        <c:axId val="1295834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Fiscal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/>
                <a:ea typeface="Aptos"/>
                <a:cs typeface="Aptos"/>
              </a:defRPr>
            </a:pPr>
            <a:endParaRPr lang="en-US"/>
          </a:p>
        </c:txPr>
        <c:crossAx val="1926664063"/>
        <c:crosses val="autoZero"/>
        <c:auto val="1"/>
        <c:lblAlgn val="ctr"/>
        <c:lblOffset val="100"/>
        <c:noMultiLvlLbl val="0"/>
      </c:catAx>
      <c:valAx>
        <c:axId val="192666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/>
                    <a:ea typeface="Aptos"/>
                    <a:cs typeface="Aptos"/>
                  </a:defRPr>
                </a:pPr>
                <a:r>
                  <a:rPr lang="en-US"/>
                  <a:t>EUR millions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/>
                  <a:ea typeface="Aptos"/>
                  <a:cs typeface="Apto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/>
                <a:ea typeface="Aptos"/>
                <a:cs typeface="Aptos"/>
              </a:defRPr>
            </a:pPr>
            <a:endParaRPr lang="en-US"/>
          </a:p>
        </c:txPr>
        <c:crossAx val="1295834128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/>
              <a:ea typeface="Aptos"/>
              <a:cs typeface="Apto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7365D"/>
                </a:solidFill>
                <a:latin typeface="Aptos"/>
                <a:ea typeface="Aptos"/>
                <a:cs typeface="Aptos"/>
              </a:defRPr>
            </a:pPr>
            <a:r>
              <a:rPr lang="en-US"/>
              <a:t>Forecast Free Cash Flow to Firm (€m)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7365D"/>
              </a:solidFill>
              <a:latin typeface="Aptos"/>
              <a:ea typeface="Aptos"/>
              <a:cs typeface="Apto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FCFF</c:v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/>
                    <a:ea typeface="Aptos"/>
                    <a:cs typeface="Apto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Charts!$B$28:$F$28</c:f>
              <c:strCache>
                <c:ptCount val="5"/>
                <c:pt idx="0">
                  <c:v>FY2026E</c:v>
                </c:pt>
                <c:pt idx="1">
                  <c:v>FY2027E</c:v>
                </c:pt>
                <c:pt idx="2">
                  <c:v>FY2028E</c:v>
                </c:pt>
                <c:pt idx="3">
                  <c:v>FY2029E</c:v>
                </c:pt>
                <c:pt idx="4">
                  <c:v>FY2030E</c:v>
                </c:pt>
              </c:strCache>
            </c:strRef>
          </c:cat>
          <c:val>
            <c:numRef>
              <c:f>Charts!$B$29:$F$29</c:f>
              <c:numCache>
                <c:formatCode>#,##0;[Red]\(#,##0\);\-</c:formatCode>
                <c:ptCount val="5"/>
                <c:pt idx="0">
                  <c:v>366.34434450000003</c:v>
                </c:pt>
                <c:pt idx="1">
                  <c:v>513.24563282999986</c:v>
                </c:pt>
                <c:pt idx="2">
                  <c:v>619.31586366719966</c:v>
                </c:pt>
                <c:pt idx="3">
                  <c:v>694.51046647271619</c:v>
                </c:pt>
                <c:pt idx="4">
                  <c:v>747.91386140034285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D1-4B57-89FC-4EF1CA3EF2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3338144"/>
        <c:axId val="1889774431"/>
      </c:barChart>
      <c:catAx>
        <c:axId val="1333338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Fiscal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/>
                <a:ea typeface="Aptos"/>
                <a:cs typeface="Aptos"/>
              </a:defRPr>
            </a:pPr>
            <a:endParaRPr lang="en-US"/>
          </a:p>
        </c:txPr>
        <c:crossAx val="1889774431"/>
        <c:crosses val="autoZero"/>
        <c:auto val="1"/>
        <c:lblAlgn val="ctr"/>
        <c:lblOffset val="100"/>
        <c:noMultiLvlLbl val="0"/>
      </c:catAx>
      <c:valAx>
        <c:axId val="188977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/>
                    <a:ea typeface="Aptos"/>
                    <a:cs typeface="Aptos"/>
                  </a:defRPr>
                </a:pPr>
                <a:r>
                  <a:rPr lang="en-US"/>
                  <a:t>EUR millions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/>
                  <a:ea typeface="Aptos"/>
                  <a:cs typeface="Apto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/>
                <a:ea typeface="Aptos"/>
                <a:cs typeface="Aptos"/>
              </a:defRPr>
            </a:pPr>
            <a:endParaRPr lang="en-US"/>
          </a:p>
        </c:txPr>
        <c:crossAx val="133333814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2" name="Valuation Football Field">
          <a:extLst>
            <a:ext uri="{FF2B5EF4-FFF2-40B4-BE49-F238E27FC236}">
              <a16:creationId xmlns:a16="http://schemas.microsoft.com/office/drawing/2014/main" id="{EA5CFEFC-1155-1EB0-E91E-ECB76CAD7B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3" name="Forecast Revenue and Adjusted EBITDA">
          <a:extLst>
            <a:ext uri="{FF2B5EF4-FFF2-40B4-BE49-F238E27FC236}">
              <a16:creationId xmlns:a16="http://schemas.microsoft.com/office/drawing/2014/main" id="{ECF33807-15B1-E121-321D-6037054E70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8</xdr:col>
      <xdr:colOff>0</xdr:colOff>
      <xdr:row>44</xdr:row>
      <xdr:rowOff>0</xdr:rowOff>
    </xdr:to>
    <xdr:graphicFrame macro="">
      <xdr:nvGraphicFramePr>
        <xdr:cNvPr id="4" name="Forecast FCFF">
          <a:extLst>
            <a:ext uri="{FF2B5EF4-FFF2-40B4-BE49-F238E27FC236}">
              <a16:creationId xmlns:a16="http://schemas.microsoft.com/office/drawing/2014/main" id="{C5D2F105-DE0B-F3C6-E00C-A41753F05E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AE45EE-B440-4339-A0FB-3DB28AE65BC5}" name="SES_Historical_Source" displayName="SES_Historical_Source" ref="A5:I11" totalsRowShown="0" headerRowDxfId="12" dataDxfId="11">
  <autoFilter ref="A5:I11" xr:uid="{4EAE45EE-B440-4339-A0FB-3DB28AE65BC5}"/>
  <tableColumns count="9">
    <tableColumn id="1" xr3:uid="{CACB6A1A-F64C-4EFB-907E-5EF782AA95E1}" name="Metric" dataDxfId="10"/>
    <tableColumn id="2" xr3:uid="{0A6BA5E9-7C25-47C7-A76F-D2424E322711}" name="FY2023A" dataDxfId="9"/>
    <tableColumn id="3" xr3:uid="{645C60A5-FFE8-45C7-85D3-D2DEFC253B28}" name="FY2024A" dataDxfId="8"/>
    <tableColumn id="4" xr3:uid="{08E0F444-6967-4519-8A29-012DF18C970B}" name="FY2025A" dataDxfId="7"/>
    <tableColumn id="5" xr3:uid="{104ED246-939E-4CFE-9C5C-EEA4BD552F5A}" name="Unit" dataDxfId="6"/>
    <tableColumn id="6" xr3:uid="{455EFBC7-B539-4D81-B12B-F4430E7765E7}" name="Source document" dataDxfId="5"/>
    <tableColumn id="7" xr3:uid="{7D142857-B604-4F02-933C-989CA1CD53C1}" name="Source URL" dataDxfId="4"/>
    <tableColumn id="8" xr3:uid="{63003025-C4E1-4B59-9FA2-73980142449F}" name="Notes" dataDxfId="3"/>
    <tableColumn id="9" xr3:uid="{77C7CDFA-5F2A-4B51-8E0D-AAFF50526B59}" name="Data statu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es.com/investors/annual-reports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www.ses.com/press-release/ses-completes-acquisition-intelsat-creating-global-multi-orbit-connectivity" TargetMode="External"/><Relationship Id="rId1" Type="http://schemas.openxmlformats.org/officeDocument/2006/relationships/hyperlink" Target="https://taxsummaries.pwc.com/luxembourg/corporate/taxes-on-corporate-income" TargetMode="External"/><Relationship Id="rId6" Type="http://schemas.openxmlformats.org/officeDocument/2006/relationships/hyperlink" Target="https://www.ses.com/sites/default/files/2026-03/2603_FY2025%20Press%20Release_Final.pdf" TargetMode="External"/><Relationship Id="rId5" Type="http://schemas.openxmlformats.org/officeDocument/2006/relationships/hyperlink" Target="https://www.ses.com/press-release/ses-full-year-2024-results" TargetMode="External"/><Relationship Id="rId4" Type="http://schemas.openxmlformats.org/officeDocument/2006/relationships/hyperlink" Target="https://www.ses.com/investors/financial-results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F3925-2D26-41F4-9B28-5D8FB19F2023}">
  <sheetPr>
    <tabColor rgb="FF17365D"/>
    <pageSetUpPr fitToPage="1"/>
  </sheetPr>
  <dimension ref="A1:G76"/>
  <sheetViews>
    <sheetView showGridLines="0" topLeftCell="A24" workbookViewId="0">
      <selection activeCell="B8" sqref="B8:G8"/>
    </sheetView>
  </sheetViews>
  <sheetFormatPr defaultColWidth="8.7265625" defaultRowHeight="14.5" x14ac:dyDescent="0.35"/>
  <cols>
    <col min="1" max="1" width="30.90625" customWidth="1"/>
    <col min="2" max="7" width="13.81640625" customWidth="1"/>
    <col min="8" max="14" width="14" customWidth="1"/>
  </cols>
  <sheetData>
    <row r="1" spans="1:7" ht="30" customHeight="1" x14ac:dyDescent="0.35">
      <c r="A1" s="286" t="s">
        <v>107</v>
      </c>
      <c r="B1" s="286"/>
      <c r="C1" s="286"/>
      <c r="D1" s="286"/>
      <c r="E1" s="286"/>
      <c r="F1" s="286"/>
      <c r="G1" s="286"/>
    </row>
    <row r="2" spans="1:7" ht="16.5" customHeight="1" x14ac:dyDescent="0.35">
      <c r="A2" s="286"/>
      <c r="B2" s="286"/>
      <c r="C2" s="286"/>
      <c r="D2" s="286"/>
      <c r="E2" s="286"/>
      <c r="F2" s="286"/>
      <c r="G2" s="286"/>
    </row>
    <row r="3" spans="1:7" ht="24" customHeight="1" x14ac:dyDescent="0.35">
      <c r="A3" s="287" t="s">
        <v>108</v>
      </c>
      <c r="B3" s="287"/>
      <c r="C3" s="287"/>
      <c r="D3" s="287"/>
      <c r="E3" s="287"/>
      <c r="F3" s="287"/>
      <c r="G3" s="287"/>
    </row>
    <row r="4" spans="1:7" ht="10" customHeight="1" x14ac:dyDescent="0.35">
      <c r="A4" s="2"/>
      <c r="B4" s="2"/>
      <c r="C4" s="2"/>
      <c r="D4" s="2"/>
      <c r="E4" s="2"/>
      <c r="F4" s="2"/>
      <c r="G4" s="2"/>
    </row>
    <row r="5" spans="1:7" ht="27" customHeight="1" x14ac:dyDescent="0.35">
      <c r="A5" s="126" t="s">
        <v>109</v>
      </c>
      <c r="B5" s="277" t="s">
        <v>110</v>
      </c>
      <c r="C5" s="277"/>
      <c r="D5" s="277"/>
      <c r="E5" s="126" t="s">
        <v>111</v>
      </c>
      <c r="F5" s="277" t="s">
        <v>112</v>
      </c>
      <c r="G5" s="277"/>
    </row>
    <row r="6" spans="1:7" ht="22" customHeight="1" x14ac:dyDescent="0.35">
      <c r="A6" s="126" t="s">
        <v>113</v>
      </c>
      <c r="B6" s="277" t="s">
        <v>0</v>
      </c>
      <c r="C6" s="277"/>
      <c r="D6" s="277"/>
      <c r="E6" s="126" t="s">
        <v>114</v>
      </c>
      <c r="F6" s="284">
        <v>46253</v>
      </c>
      <c r="G6" s="285"/>
    </row>
    <row r="7" spans="1:7" ht="22" customHeight="1" x14ac:dyDescent="0.35">
      <c r="A7" s="126" t="s">
        <v>115</v>
      </c>
      <c r="B7" s="277" t="s">
        <v>116</v>
      </c>
      <c r="C7" s="277"/>
      <c r="D7" s="277"/>
      <c r="E7" s="277"/>
      <c r="F7" s="277"/>
      <c r="G7" s="277"/>
    </row>
    <row r="8" spans="1:7" ht="28.5" customHeight="1" x14ac:dyDescent="0.35">
      <c r="A8" s="127" t="s">
        <v>117</v>
      </c>
      <c r="B8" s="278" t="s">
        <v>757</v>
      </c>
      <c r="C8" s="278"/>
      <c r="D8" s="278"/>
      <c r="E8" s="278"/>
      <c r="F8" s="278"/>
      <c r="G8" s="278"/>
    </row>
    <row r="9" spans="1:7" ht="10" customHeight="1" x14ac:dyDescent="0.35">
      <c r="A9" s="2"/>
      <c r="B9" s="2"/>
      <c r="C9" s="2"/>
      <c r="D9" s="2"/>
      <c r="E9" s="2"/>
      <c r="F9" s="2"/>
      <c r="G9" s="2"/>
    </row>
    <row r="10" spans="1:7" ht="24" customHeight="1" x14ac:dyDescent="0.35">
      <c r="A10" s="279" t="s">
        <v>118</v>
      </c>
      <c r="B10" s="281" t="s">
        <v>119</v>
      </c>
      <c r="C10" s="281"/>
      <c r="D10" s="281"/>
      <c r="E10" s="281"/>
      <c r="F10" s="281"/>
      <c r="G10" s="281"/>
    </row>
    <row r="11" spans="1:7" ht="24" customHeight="1" x14ac:dyDescent="0.35">
      <c r="A11" s="279"/>
      <c r="B11" s="281"/>
      <c r="C11" s="281"/>
      <c r="D11" s="281"/>
      <c r="E11" s="281"/>
      <c r="F11" s="281"/>
      <c r="G11" s="281"/>
    </row>
    <row r="12" spans="1:7" ht="15" customHeight="1" x14ac:dyDescent="0.35">
      <c r="A12" s="280"/>
      <c r="B12" s="282"/>
      <c r="C12" s="282"/>
      <c r="D12" s="282"/>
      <c r="E12" s="282"/>
      <c r="F12" s="282"/>
      <c r="G12" s="282"/>
    </row>
    <row r="13" spans="1:7" x14ac:dyDescent="0.35">
      <c r="A13" s="279" t="s">
        <v>120</v>
      </c>
      <c r="B13" s="281" t="s">
        <v>843</v>
      </c>
      <c r="C13" s="281"/>
      <c r="D13" s="281"/>
      <c r="E13" s="281"/>
      <c r="F13" s="281"/>
      <c r="G13" s="281"/>
    </row>
    <row r="14" spans="1:7" ht="55.5" customHeight="1" x14ac:dyDescent="0.35">
      <c r="A14" s="280"/>
      <c r="B14" s="282"/>
      <c r="C14" s="282"/>
      <c r="D14" s="282"/>
      <c r="E14" s="282"/>
      <c r="F14" s="282"/>
      <c r="G14" s="282"/>
    </row>
    <row r="15" spans="1:7" ht="20.5" customHeight="1" x14ac:dyDescent="0.35">
      <c r="A15" s="2"/>
      <c r="B15" s="2"/>
      <c r="C15" s="2"/>
      <c r="D15" s="2"/>
      <c r="E15" s="2"/>
      <c r="F15" s="2"/>
      <c r="G15" s="2"/>
    </row>
    <row r="16" spans="1:7" ht="24" customHeight="1" x14ac:dyDescent="0.35">
      <c r="A16" s="283" t="s">
        <v>121</v>
      </c>
      <c r="B16" s="283"/>
      <c r="C16" s="283"/>
      <c r="D16" s="283"/>
      <c r="E16" s="283"/>
      <c r="F16" s="283"/>
      <c r="G16" s="283"/>
    </row>
    <row r="17" spans="1:7" ht="21" customHeight="1" x14ac:dyDescent="0.35">
      <c r="A17" s="3" t="s">
        <v>134</v>
      </c>
      <c r="B17" s="276" t="s">
        <v>135</v>
      </c>
      <c r="C17" s="276"/>
      <c r="D17" s="276"/>
      <c r="E17" s="276"/>
      <c r="F17" s="276"/>
      <c r="G17" s="276"/>
    </row>
    <row r="18" spans="1:7" ht="21" customHeight="1" x14ac:dyDescent="0.35">
      <c r="A18" s="128" t="s">
        <v>1</v>
      </c>
      <c r="B18" s="275" t="s">
        <v>122</v>
      </c>
      <c r="C18" s="275"/>
      <c r="D18" s="275"/>
      <c r="E18" s="275"/>
      <c r="F18" s="275"/>
      <c r="G18" s="275"/>
    </row>
    <row r="19" spans="1:7" ht="21" customHeight="1" x14ac:dyDescent="0.35">
      <c r="A19" s="3" t="s">
        <v>25</v>
      </c>
      <c r="B19" s="276" t="s">
        <v>123</v>
      </c>
      <c r="C19" s="276"/>
      <c r="D19" s="276"/>
      <c r="E19" s="276"/>
      <c r="F19" s="276"/>
      <c r="G19" s="276"/>
    </row>
    <row r="20" spans="1:7" ht="21" customHeight="1" x14ac:dyDescent="0.35">
      <c r="A20" s="128" t="s">
        <v>47</v>
      </c>
      <c r="B20" s="275" t="s">
        <v>124</v>
      </c>
      <c r="C20" s="275"/>
      <c r="D20" s="275"/>
      <c r="E20" s="275"/>
      <c r="F20" s="275"/>
      <c r="G20" s="275"/>
    </row>
    <row r="21" spans="1:7" ht="21" customHeight="1" x14ac:dyDescent="0.35">
      <c r="A21" s="3" t="s">
        <v>49</v>
      </c>
      <c r="B21" s="276" t="s">
        <v>125</v>
      </c>
      <c r="C21" s="276"/>
      <c r="D21" s="276"/>
      <c r="E21" s="276"/>
      <c r="F21" s="276"/>
      <c r="G21" s="276"/>
    </row>
    <row r="22" spans="1:7" ht="21" customHeight="1" x14ac:dyDescent="0.35">
      <c r="A22" s="128" t="s">
        <v>55</v>
      </c>
      <c r="B22" s="275" t="s">
        <v>126</v>
      </c>
      <c r="C22" s="275"/>
      <c r="D22" s="275"/>
      <c r="E22" s="275"/>
      <c r="F22" s="275"/>
      <c r="G22" s="275"/>
    </row>
    <row r="23" spans="1:7" ht="21" customHeight="1" x14ac:dyDescent="0.35">
      <c r="A23" s="3" t="s">
        <v>76</v>
      </c>
      <c r="B23" s="276" t="s">
        <v>127</v>
      </c>
      <c r="C23" s="276"/>
      <c r="D23" s="276"/>
      <c r="E23" s="276"/>
      <c r="F23" s="276"/>
      <c r="G23" s="276"/>
    </row>
    <row r="24" spans="1:7" ht="21" customHeight="1" x14ac:dyDescent="0.35">
      <c r="A24" s="128" t="s">
        <v>82</v>
      </c>
      <c r="B24" s="275" t="s">
        <v>128</v>
      </c>
      <c r="C24" s="275"/>
      <c r="D24" s="275"/>
      <c r="E24" s="275"/>
      <c r="F24" s="275"/>
      <c r="G24" s="275"/>
    </row>
    <row r="25" spans="1:7" ht="21" customHeight="1" x14ac:dyDescent="0.35">
      <c r="A25" s="3" t="s">
        <v>129</v>
      </c>
      <c r="B25" s="276" t="s">
        <v>130</v>
      </c>
      <c r="C25" s="276"/>
      <c r="D25" s="276"/>
      <c r="E25" s="276"/>
      <c r="F25" s="276"/>
      <c r="G25" s="276"/>
    </row>
    <row r="26" spans="1:7" ht="21" customHeight="1" x14ac:dyDescent="0.35">
      <c r="A26" s="128" t="s">
        <v>131</v>
      </c>
      <c r="B26" s="275" t="s">
        <v>132</v>
      </c>
      <c r="C26" s="275"/>
      <c r="D26" s="275"/>
      <c r="E26" s="275"/>
      <c r="F26" s="275"/>
      <c r="G26" s="275"/>
    </row>
    <row r="27" spans="1:7" ht="21" customHeight="1" x14ac:dyDescent="0.35">
      <c r="A27" s="3" t="s">
        <v>93</v>
      </c>
      <c r="B27" s="276" t="s">
        <v>133</v>
      </c>
      <c r="C27" s="276"/>
      <c r="D27" s="276"/>
      <c r="E27" s="276"/>
      <c r="F27" s="276"/>
      <c r="G27" s="276"/>
    </row>
    <row r="28" spans="1:7" ht="21" customHeight="1" x14ac:dyDescent="0.35">
      <c r="A28" s="129" t="s">
        <v>96</v>
      </c>
      <c r="B28" s="272" t="s">
        <v>136</v>
      </c>
      <c r="C28" s="272"/>
      <c r="D28" s="272"/>
      <c r="E28" s="272"/>
      <c r="F28" s="272"/>
      <c r="G28" s="272"/>
    </row>
    <row r="29" spans="1:7" ht="10" customHeight="1" x14ac:dyDescent="0.35">
      <c r="A29" s="2"/>
      <c r="B29" s="2"/>
      <c r="C29" s="2"/>
      <c r="D29" s="2"/>
      <c r="E29" s="2"/>
      <c r="F29" s="2"/>
      <c r="G29" s="2"/>
    </row>
    <row r="30" spans="1:7" ht="24" customHeight="1" x14ac:dyDescent="0.35">
      <c r="A30" s="273" t="s">
        <v>137</v>
      </c>
      <c r="B30" s="273"/>
      <c r="C30" s="273"/>
      <c r="D30" s="273"/>
      <c r="E30" s="273"/>
      <c r="F30" s="273"/>
      <c r="G30" s="273"/>
    </row>
    <row r="31" spans="1:7" ht="24" customHeight="1" x14ac:dyDescent="0.35">
      <c r="A31" s="274"/>
      <c r="B31" s="274"/>
      <c r="C31" s="274"/>
      <c r="D31" s="274"/>
      <c r="E31" s="274"/>
      <c r="F31" s="274"/>
      <c r="G31" s="274"/>
    </row>
    <row r="32" spans="1:7" ht="19.5" customHeight="1" x14ac:dyDescent="0.35"/>
    <row r="33" ht="19.5" customHeight="1" x14ac:dyDescent="0.35"/>
    <row r="34" ht="19.5" customHeight="1" x14ac:dyDescent="0.35"/>
    <row r="35" ht="19.5" customHeight="1" x14ac:dyDescent="0.35"/>
    <row r="36" ht="19.5" customHeight="1" x14ac:dyDescent="0.35"/>
    <row r="37" ht="19.5" customHeight="1" x14ac:dyDescent="0.35"/>
    <row r="38" ht="19.5" customHeight="1" x14ac:dyDescent="0.35"/>
    <row r="39" ht="19.5" customHeight="1" x14ac:dyDescent="0.35"/>
    <row r="40" ht="19.5" customHeight="1" x14ac:dyDescent="0.35"/>
    <row r="41" ht="19.5" customHeight="1" x14ac:dyDescent="0.35"/>
    <row r="42" ht="19.5" customHeight="1" x14ac:dyDescent="0.35"/>
    <row r="43" ht="19.5" customHeight="1" x14ac:dyDescent="0.35"/>
    <row r="44" ht="19.5" customHeight="1" x14ac:dyDescent="0.35"/>
    <row r="45" ht="19.5" customHeight="1" x14ac:dyDescent="0.35"/>
    <row r="46" ht="19.5" customHeight="1" x14ac:dyDescent="0.35"/>
    <row r="47" ht="19.5" customHeight="1" x14ac:dyDescent="0.35"/>
    <row r="48" ht="19.5" customHeight="1" x14ac:dyDescent="0.35"/>
    <row r="49" ht="19.5" customHeight="1" x14ac:dyDescent="0.35"/>
    <row r="50" ht="19.5" customHeight="1" x14ac:dyDescent="0.35"/>
    <row r="51" ht="19.5" customHeight="1" x14ac:dyDescent="0.35"/>
    <row r="52" ht="19.5" customHeight="1" x14ac:dyDescent="0.35"/>
    <row r="53" ht="19.5" customHeight="1" x14ac:dyDescent="0.35"/>
    <row r="54" ht="19.5" customHeight="1" x14ac:dyDescent="0.35"/>
    <row r="55" ht="19.5" customHeight="1" x14ac:dyDescent="0.35"/>
    <row r="56" ht="19.5" customHeight="1" x14ac:dyDescent="0.35"/>
    <row r="57" ht="19.5" customHeight="1" x14ac:dyDescent="0.35"/>
    <row r="58" ht="19.5" customHeight="1" x14ac:dyDescent="0.35"/>
    <row r="59" ht="19.5" customHeight="1" x14ac:dyDescent="0.35"/>
    <row r="60" ht="19.5" customHeight="1" x14ac:dyDescent="0.35"/>
    <row r="61" ht="19.5" customHeight="1" x14ac:dyDescent="0.35"/>
    <row r="62" ht="19.5" customHeight="1" x14ac:dyDescent="0.35"/>
    <row r="63" ht="19.5" customHeight="1" x14ac:dyDescent="0.35"/>
    <row r="64" ht="19.5" customHeight="1" x14ac:dyDescent="0.35"/>
    <row r="65" ht="19.5" customHeight="1" x14ac:dyDescent="0.35"/>
    <row r="66" ht="19.5" customHeight="1" x14ac:dyDescent="0.35"/>
    <row r="67" ht="19.5" customHeight="1" x14ac:dyDescent="0.35"/>
    <row r="68" ht="19.5" customHeight="1" x14ac:dyDescent="0.35"/>
    <row r="69" ht="19.5" customHeight="1" x14ac:dyDescent="0.35"/>
    <row r="70" ht="19.5" customHeight="1" x14ac:dyDescent="0.35"/>
    <row r="71" ht="19.5" customHeight="1" x14ac:dyDescent="0.35"/>
    <row r="72" ht="19.5" customHeight="1" x14ac:dyDescent="0.35"/>
    <row r="73" ht="19.5" customHeight="1" x14ac:dyDescent="0.35"/>
    <row r="74" ht="19.5" customHeight="1" x14ac:dyDescent="0.35"/>
    <row r="75" ht="19.5" customHeight="1" x14ac:dyDescent="0.35"/>
    <row r="76" ht="19.5" customHeight="1" x14ac:dyDescent="0.35"/>
  </sheetData>
  <mergeCells count="26">
    <mergeCell ref="B6:D6"/>
    <mergeCell ref="F6:G6"/>
    <mergeCell ref="A1:G2"/>
    <mergeCell ref="A3:G3"/>
    <mergeCell ref="B5:D5"/>
    <mergeCell ref="F5:G5"/>
    <mergeCell ref="B22:G22"/>
    <mergeCell ref="B7:G7"/>
    <mergeCell ref="B8:G8"/>
    <mergeCell ref="A10:A12"/>
    <mergeCell ref="B10:G12"/>
    <mergeCell ref="A13:A14"/>
    <mergeCell ref="B13:G14"/>
    <mergeCell ref="A16:G16"/>
    <mergeCell ref="B18:G18"/>
    <mergeCell ref="B19:G19"/>
    <mergeCell ref="B20:G20"/>
    <mergeCell ref="B21:G21"/>
    <mergeCell ref="B17:G17"/>
    <mergeCell ref="B28:G28"/>
    <mergeCell ref="A30:G31"/>
    <mergeCell ref="B23:G23"/>
    <mergeCell ref="B24:G24"/>
    <mergeCell ref="B25:G25"/>
    <mergeCell ref="B26:G26"/>
    <mergeCell ref="B27:G27"/>
  </mergeCells>
  <pageMargins left="0.7" right="0.7" top="0.75" bottom="0.75" header="0.3" footer="0.3"/>
  <pageSetup scale="7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264478"/>
    <pageSetUpPr fitToPage="1"/>
  </sheetPr>
  <dimension ref="A1:H79"/>
  <sheetViews>
    <sheetView showGridLines="0" topLeftCell="A41" zoomScaleNormal="100" workbookViewId="0">
      <selection activeCell="A22" sqref="A22"/>
    </sheetView>
  </sheetViews>
  <sheetFormatPr defaultColWidth="8.7265625" defaultRowHeight="14.5" x14ac:dyDescent="0.35"/>
  <cols>
    <col min="1" max="8" width="17.26953125" customWidth="1"/>
    <col min="9" max="15" width="14" customWidth="1"/>
  </cols>
  <sheetData>
    <row r="1" spans="1:8" ht="23.5" x14ac:dyDescent="0.35">
      <c r="A1" s="270" t="s">
        <v>632</v>
      </c>
      <c r="B1" s="270"/>
      <c r="C1" s="270"/>
      <c r="D1" s="270"/>
      <c r="E1" s="270"/>
      <c r="F1" s="270"/>
      <c r="G1" s="270"/>
      <c r="H1" s="270"/>
    </row>
    <row r="2" spans="1:8" x14ac:dyDescent="0.35">
      <c r="A2" s="271" t="str">
        <f>"Internal valuation note | Selected "&amp;Assumptions!B5&amp;" case | Prepared by Joy Lorna | Model outputs as of 19 August 2026"</f>
        <v>Internal valuation note | Selected Base case | Prepared by Joy Lorna | Model outputs as of 19 August 2026</v>
      </c>
      <c r="B2" s="271"/>
      <c r="C2" s="271"/>
      <c r="D2" s="271"/>
      <c r="E2" s="271"/>
      <c r="F2" s="271"/>
      <c r="G2" s="271"/>
      <c r="H2" s="271"/>
    </row>
    <row r="3" spans="1:8" x14ac:dyDescent="0.35">
      <c r="A3" s="85"/>
      <c r="B3" s="85"/>
      <c r="C3" s="85"/>
      <c r="D3" s="85"/>
      <c r="E3" s="85"/>
      <c r="F3" s="85"/>
      <c r="G3" s="85"/>
      <c r="H3" s="85"/>
    </row>
    <row r="4" spans="1:8" x14ac:dyDescent="0.35">
      <c r="A4" s="265" t="s">
        <v>633</v>
      </c>
      <c r="B4" s="265"/>
      <c r="C4" s="265"/>
      <c r="D4" s="265"/>
      <c r="E4" s="265"/>
      <c r="F4" s="265"/>
      <c r="G4" s="265"/>
      <c r="H4" s="265"/>
    </row>
    <row r="5" spans="1:8" x14ac:dyDescent="0.35">
      <c r="A5" s="344" t="s">
        <v>634</v>
      </c>
      <c r="B5" s="344"/>
      <c r="C5" s="344" t="s">
        <v>635</v>
      </c>
      <c r="D5" s="344"/>
      <c r="E5" s="344" t="s">
        <v>636</v>
      </c>
      <c r="F5" s="344"/>
      <c r="G5" s="344" t="s">
        <v>637</v>
      </c>
      <c r="H5" s="344"/>
    </row>
    <row r="6" spans="1:8" x14ac:dyDescent="0.35">
      <c r="A6" s="373" t="str">
        <f>"WATCHLIST / CONDITIONAL ACCUMULATE BELOW "&amp;TEXT(Football_Field!B36,"€0.00")</f>
        <v>WATCHLIST / CONDITIONAL ACCUMULATE BELOW €8.85</v>
      </c>
      <c r="B6" s="373"/>
      <c r="C6" s="345" t="str">
        <f>TEXT(Football_Field!B36,"€0.00")&amp;"–"&amp;TEXT(Football_Field!C36,"€0.00")&amp;" / share"</f>
        <v>€8.85–€17.51 / share</v>
      </c>
      <c r="D6" s="345"/>
      <c r="E6" s="346" t="str">
        <f>"€"&amp;TEXT(Football_Field!B8/1000,"0.0")&amp;"bn–€"&amp;TEXT(Football_Field!C8/1000,"0.0")&amp;"bn"</f>
        <v>€8.4bn–€12.1bn</v>
      </c>
      <c r="F6" s="346"/>
      <c r="G6" s="346" t="str">
        <f>TEXT(DCF!B14,"€0.00")&amp;" / share"</f>
        <v>€16.78 / share</v>
      </c>
      <c r="H6" s="346"/>
    </row>
    <row r="7" spans="1:8" x14ac:dyDescent="0.35">
      <c r="A7" s="373"/>
      <c r="B7" s="373"/>
      <c r="C7" s="345"/>
      <c r="D7" s="345"/>
      <c r="E7" s="346"/>
      <c r="F7" s="346"/>
      <c r="G7" s="346"/>
      <c r="H7" s="346"/>
    </row>
    <row r="8" spans="1:8" ht="22" customHeight="1" x14ac:dyDescent="0.35">
      <c r="A8" s="373"/>
      <c r="B8" s="373"/>
      <c r="C8" s="345"/>
      <c r="D8" s="345"/>
      <c r="E8" s="346"/>
      <c r="F8" s="346"/>
      <c r="G8" s="346"/>
      <c r="H8" s="346"/>
    </row>
    <row r="9" spans="1:8" x14ac:dyDescent="0.35">
      <c r="A9" s="85"/>
      <c r="B9" s="85"/>
      <c r="C9" s="85"/>
      <c r="D9" s="85"/>
      <c r="E9" s="85"/>
      <c r="F9" s="85"/>
      <c r="G9" s="85"/>
      <c r="H9" s="85"/>
    </row>
    <row r="10" spans="1:8" x14ac:dyDescent="0.35">
      <c r="A10" s="265" t="s">
        <v>638</v>
      </c>
      <c r="B10" s="265"/>
      <c r="C10" s="265"/>
      <c r="D10" s="265"/>
      <c r="E10" s="265"/>
      <c r="F10" s="265"/>
      <c r="G10" s="265"/>
      <c r="H10" s="265"/>
    </row>
    <row r="11" spans="1:8" x14ac:dyDescent="0.35">
      <c r="A11" s="332" t="str">
        <f>"SES is a Luxembourg-headquartered satellite and connectivity operator whose acquisition of Intelsat on 17 July 2025 materially changed its scale, leverage, and execution risk. The "&amp;Assumptions!B5&amp;" case assumes FY2026 revenue growth of "&amp;TEXT(Projections!B7,"0.0%")&amp;", gradual EBITDA-margin recovery from "&amp;TEXT(Projections!B9,"0.0%")&amp;" to "&amp;TEXT(Projections!F9,"0.0%")&amp;_xlfn._LONGTEXT(", and declining capital intensity. The DCF supports a higher valuation than public-market peers, while the comps framework embeds a larger discount for leverage, integration risk, structural Media pressure, and LEO competition. Accordingly, the model supp","orts a WATCHLIST / CONDITIONAL ACCUMULATE stance below the €")&amp;TEXT(Football_Field!B36,"0.00")&amp;" lower fair-value threshold—not an unconditional buy call—until the current share price and live peer multiples are refreshed."</f>
        <v>SES is a Luxembourg-headquartered satellite and connectivity operator whose acquisition of Intelsat on 17 July 2025 materially changed its scale, leverage, and execution risk. The Base case assumes FY2026 revenue growth of 0.0%, gradual EBITDA-margin recovery from 45.5% to 49.0%, and declining capital intensity. The DCF supports a higher valuation than public-market peers, while the comps framework embeds a larger discount for leverage, integration risk, structural Media pressure, and LEO competition. Accordingly, the model supports a WATCHLIST / CONDITIONAL ACCUMULATE stance below the €8.85 lower fair-value threshold—not an unconditional buy call—until the current share price and live peer multiples are refreshed.</v>
      </c>
      <c r="B11" s="332"/>
      <c r="C11" s="332"/>
      <c r="D11" s="332"/>
      <c r="E11" s="332"/>
      <c r="F11" s="332"/>
      <c r="G11" s="332"/>
      <c r="H11" s="332"/>
    </row>
    <row r="12" spans="1:8" x14ac:dyDescent="0.35">
      <c r="A12" s="332"/>
      <c r="B12" s="332"/>
      <c r="C12" s="332"/>
      <c r="D12" s="332"/>
      <c r="E12" s="332"/>
      <c r="F12" s="332"/>
      <c r="G12" s="332"/>
      <c r="H12" s="332"/>
    </row>
    <row r="13" spans="1:8" ht="24" customHeight="1" x14ac:dyDescent="0.35">
      <c r="A13" s="332"/>
      <c r="B13" s="332"/>
      <c r="C13" s="332"/>
      <c r="D13" s="332"/>
      <c r="E13" s="332"/>
      <c r="F13" s="332"/>
      <c r="G13" s="332"/>
      <c r="H13" s="332"/>
    </row>
    <row r="14" spans="1:8" ht="23" customHeight="1" x14ac:dyDescent="0.35">
      <c r="A14" s="332"/>
      <c r="B14" s="332"/>
      <c r="C14" s="332"/>
      <c r="D14" s="332"/>
      <c r="E14" s="332"/>
      <c r="F14" s="332"/>
      <c r="G14" s="332"/>
      <c r="H14" s="332"/>
    </row>
    <row r="15" spans="1:8" x14ac:dyDescent="0.35">
      <c r="A15" s="85"/>
      <c r="B15" s="85"/>
      <c r="C15" s="85"/>
      <c r="D15" s="85"/>
      <c r="E15" s="85"/>
      <c r="F15" s="85"/>
      <c r="G15" s="85"/>
      <c r="H15" s="85"/>
    </row>
    <row r="16" spans="1:8" x14ac:dyDescent="0.35">
      <c r="A16" s="265" t="s">
        <v>639</v>
      </c>
      <c r="B16" s="265"/>
      <c r="C16" s="265"/>
      <c r="D16" s="265"/>
      <c r="E16" s="265"/>
      <c r="F16" s="265"/>
      <c r="G16" s="265"/>
      <c r="H16" s="265"/>
    </row>
    <row r="17" spans="1:8" x14ac:dyDescent="0.35">
      <c r="A17" s="106" t="s">
        <v>88</v>
      </c>
      <c r="B17" s="106" t="s">
        <v>640</v>
      </c>
      <c r="C17" s="106" t="s">
        <v>641</v>
      </c>
      <c r="D17" s="267" t="s">
        <v>204</v>
      </c>
      <c r="E17" s="267"/>
      <c r="F17" s="267"/>
      <c r="G17" s="267"/>
      <c r="H17" s="267"/>
    </row>
    <row r="18" spans="1:8" x14ac:dyDescent="0.35">
      <c r="A18" s="104" t="s">
        <v>628</v>
      </c>
      <c r="B18" s="87">
        <f>Football_Field!B6</f>
        <v>10091.447023277391</v>
      </c>
      <c r="C18" s="87">
        <f>Football_Field!C6</f>
        <v>14116.905832823428</v>
      </c>
      <c r="D18" s="268" t="s">
        <v>642</v>
      </c>
      <c r="E18" s="268"/>
      <c r="F18" s="268"/>
      <c r="G18" s="268"/>
      <c r="H18" s="268"/>
    </row>
    <row r="19" spans="1:8" x14ac:dyDescent="0.35">
      <c r="A19" s="104" t="s">
        <v>629</v>
      </c>
      <c r="B19" s="87">
        <f>Football_Field!B7</f>
        <v>5976.4250000000002</v>
      </c>
      <c r="C19" s="87">
        <f>Football_Field!C7</f>
        <v>8964.6375000000007</v>
      </c>
      <c r="D19" s="268" t="s">
        <v>643</v>
      </c>
      <c r="E19" s="268"/>
      <c r="F19" s="268"/>
      <c r="G19" s="268"/>
      <c r="H19" s="268"/>
    </row>
    <row r="20" spans="1:8" ht="26" x14ac:dyDescent="0.35">
      <c r="A20" s="90" t="s">
        <v>583</v>
      </c>
      <c r="B20" s="91">
        <f>Football_Field!B8</f>
        <v>8445.438213966434</v>
      </c>
      <c r="C20" s="91">
        <f>Football_Field!C8</f>
        <v>12055.998499694058</v>
      </c>
      <c r="D20" s="334" t="str">
        <f>TEXT(Assumptions!B9,"0%")&amp;" DCF / "&amp;TEXT(Assumptions!B10,"0%")&amp;" Comps reconciliation."</f>
        <v>60% DCF / 40% Comps reconciliation.</v>
      </c>
      <c r="E20" s="334"/>
      <c r="F20" s="334"/>
      <c r="G20" s="334"/>
      <c r="H20" s="334"/>
    </row>
    <row r="21" spans="1:8" ht="26" x14ac:dyDescent="0.35">
      <c r="A21" s="86" t="s">
        <v>544</v>
      </c>
      <c r="B21" s="108">
        <f>Football_Field!B36</f>
        <v>8.8488804960447105</v>
      </c>
      <c r="C21" s="108">
        <f>Football_Field!C36</f>
        <v>17.507169283202355</v>
      </c>
      <c r="D21" s="268" t="s">
        <v>821</v>
      </c>
      <c r="E21" s="268"/>
      <c r="F21" s="268"/>
      <c r="G21" s="268"/>
      <c r="H21" s="268"/>
    </row>
    <row r="22" spans="1:8" ht="26" x14ac:dyDescent="0.35">
      <c r="A22" s="112" t="s">
        <v>644</v>
      </c>
      <c r="B22" s="109" t="s">
        <v>645</v>
      </c>
      <c r="C22" s="109" t="s">
        <v>645</v>
      </c>
      <c r="D22" s="269" t="s">
        <v>646</v>
      </c>
      <c r="E22" s="269"/>
      <c r="F22" s="269"/>
      <c r="G22" s="269"/>
      <c r="H22" s="269"/>
    </row>
    <row r="23" spans="1:8" x14ac:dyDescent="0.35">
      <c r="A23" s="85"/>
      <c r="B23" s="85"/>
      <c r="C23" s="85"/>
      <c r="D23" s="85"/>
      <c r="E23" s="85"/>
      <c r="F23" s="85"/>
      <c r="G23" s="85"/>
      <c r="H23" s="85"/>
    </row>
    <row r="24" spans="1:8" x14ac:dyDescent="0.35">
      <c r="A24" s="265" t="s">
        <v>647</v>
      </c>
      <c r="B24" s="265"/>
      <c r="C24" s="265"/>
      <c r="D24" s="265"/>
      <c r="E24" s="265"/>
      <c r="F24" s="265"/>
      <c r="G24" s="265"/>
      <c r="H24" s="265"/>
    </row>
    <row r="25" spans="1:8" x14ac:dyDescent="0.35">
      <c r="A25" s="342" t="str">
        <f>"1. Growth quality: Revenue increases from €"&amp;TEXT(Projections!B6,"#,##0")&amp;"m in FY2026E to €"&amp;TEXT(Projections!F6,"#,##0")&amp;"m in FY2030E, a "&amp;TEXT((Projections!F6/Projections!B6)^(1/4)-1,"0.0%")&amp;" CAGR."</f>
        <v>1. Growth quality: Revenue increases from €2,627m in FY2026E to €2,857m in FY2030E, a 2.1% CAGR.</v>
      </c>
      <c r="B25" s="342"/>
      <c r="C25" s="342"/>
      <c r="D25" s="342"/>
      <c r="E25" s="342"/>
      <c r="F25" s="342"/>
      <c r="G25" s="342"/>
      <c r="H25" s="342"/>
    </row>
    <row r="26" spans="1:8" x14ac:dyDescent="0.35">
      <c r="A26" s="342" t="str">
        <f>"2. Margin recovery: Adjusted EBITDA grows at "&amp;TEXT((Projections!F8/Projections!B8)^(1/4)-1,"0.0%")&amp;" CAGR as the margin recovers by "&amp;TEXT(Projections!F9-Projections!B9,"0.0%")&amp;" to "&amp;TEXT(Projections!F9,"0.0%")&amp;", still below the FY2024 standalone level."</f>
        <v>2. Margin recovery: Adjusted EBITDA grows at 4.0% CAGR as the margin recovers by 3.5% to 49.0%, still below the FY2024 standalone level.</v>
      </c>
      <c r="B26" s="342"/>
      <c r="C26" s="342"/>
      <c r="D26" s="342"/>
      <c r="E26" s="342"/>
      <c r="F26" s="342"/>
      <c r="G26" s="342"/>
      <c r="H26" s="342"/>
    </row>
    <row r="27" spans="1:8" ht="17" customHeight="1" x14ac:dyDescent="0.35">
      <c r="A27" s="342" t="str">
        <f>"3. Cash conversion: FCFF rises from €"&amp;TEXT(Projections!B18,"#,##0")&amp;"m to €"&amp;TEXT(Projections!F18,"#,##0")&amp;"m as CapEx intensity declines from "&amp;TEXT(-Projections!B16/Projections!B6,"0.0%")&amp;" to "&amp;TEXT(-Projections!F16/Projections!F6,"0.0%")&amp;"."</f>
        <v>3. Cash conversion: FCFF rises from €366m to €748m as CapEx intensity declines from 26.4% to 16.0%.</v>
      </c>
      <c r="B27" s="342"/>
      <c r="C27" s="342"/>
      <c r="D27" s="342"/>
      <c r="E27" s="342"/>
      <c r="F27" s="342"/>
      <c r="G27" s="342"/>
      <c r="H27" s="342"/>
    </row>
    <row r="28" spans="1:8" ht="24" customHeight="1" x14ac:dyDescent="0.35">
      <c r="A28" s="342" t="str">
        <f>"4. Valuation risk: Terminal value represents "&amp;TEXT(DCF!B31,"0.0%")&amp;" of DCF enterprise value, while the comps range remains materially below DCF; sensitivity and triangulation are therefore essential."</f>
        <v>4. Valuation risk: Terminal value represents 80.0% of DCF enterprise value, while the comps range remains materially below DCF; sensitivity and triangulation are therefore essential.</v>
      </c>
      <c r="B28" s="342"/>
      <c r="C28" s="342"/>
      <c r="D28" s="342"/>
      <c r="E28" s="342"/>
      <c r="F28" s="342"/>
      <c r="G28" s="342"/>
      <c r="H28" s="342"/>
    </row>
    <row r="29" spans="1:8" x14ac:dyDescent="0.35">
      <c r="A29" s="85"/>
      <c r="B29" s="85"/>
      <c r="C29" s="85"/>
      <c r="D29" s="85"/>
      <c r="E29" s="85"/>
      <c r="F29" s="85"/>
      <c r="G29" s="85"/>
      <c r="H29" s="85"/>
    </row>
    <row r="30" spans="1:8" x14ac:dyDescent="0.35">
      <c r="A30" s="343" t="s">
        <v>648</v>
      </c>
      <c r="B30" s="343"/>
      <c r="C30" s="343"/>
      <c r="D30" s="343"/>
      <c r="E30" s="343" t="s">
        <v>649</v>
      </c>
      <c r="F30" s="343"/>
      <c r="G30" s="343"/>
      <c r="H30" s="343"/>
    </row>
    <row r="31" spans="1:8" x14ac:dyDescent="0.35">
      <c r="A31" s="338" t="s">
        <v>650</v>
      </c>
      <c r="B31" s="338"/>
      <c r="C31" s="338"/>
      <c r="D31" s="338"/>
      <c r="E31" s="339" t="s">
        <v>651</v>
      </c>
      <c r="F31" s="339"/>
      <c r="G31" s="339"/>
      <c r="H31" s="339"/>
    </row>
    <row r="32" spans="1:8" x14ac:dyDescent="0.35">
      <c r="A32" s="338"/>
      <c r="B32" s="338"/>
      <c r="C32" s="338"/>
      <c r="D32" s="338"/>
      <c r="E32" s="339"/>
      <c r="F32" s="339"/>
      <c r="G32" s="339"/>
      <c r="H32" s="339"/>
    </row>
    <row r="33" spans="1:8" x14ac:dyDescent="0.35">
      <c r="A33" s="338"/>
      <c r="B33" s="338"/>
      <c r="C33" s="338"/>
      <c r="D33" s="338"/>
      <c r="E33" s="339"/>
      <c r="F33" s="339"/>
      <c r="G33" s="339"/>
      <c r="H33" s="339"/>
    </row>
    <row r="34" spans="1:8" x14ac:dyDescent="0.35">
      <c r="A34" s="338"/>
      <c r="B34" s="338"/>
      <c r="C34" s="338"/>
      <c r="D34" s="338"/>
      <c r="E34" s="339"/>
      <c r="F34" s="339"/>
      <c r="G34" s="339"/>
      <c r="H34" s="339"/>
    </row>
    <row r="35" spans="1:8" x14ac:dyDescent="0.35">
      <c r="A35" s="338"/>
      <c r="B35" s="338"/>
      <c r="C35" s="338"/>
      <c r="D35" s="338"/>
      <c r="E35" s="339"/>
      <c r="F35" s="339"/>
      <c r="G35" s="339"/>
      <c r="H35" s="339"/>
    </row>
    <row r="36" spans="1:8" x14ac:dyDescent="0.35">
      <c r="A36" s="85"/>
      <c r="B36" s="85"/>
      <c r="C36" s="85"/>
      <c r="D36" s="85"/>
      <c r="E36" s="85"/>
      <c r="F36" s="85"/>
      <c r="G36" s="85"/>
      <c r="H36" s="85"/>
    </row>
    <row r="37" spans="1:8" x14ac:dyDescent="0.35">
      <c r="A37" s="265" t="s">
        <v>652</v>
      </c>
      <c r="B37" s="265"/>
      <c r="C37" s="265"/>
      <c r="D37" s="265"/>
      <c r="E37" s="265"/>
      <c r="F37" s="265"/>
      <c r="G37" s="265"/>
      <c r="H37" s="265"/>
    </row>
    <row r="38" spans="1:8" x14ac:dyDescent="0.35">
      <c r="A38" s="340" t="str">
        <f>_xlfn._LONGTEXT("Source-backed: FY2023–FY2025 revenue and Adjusted EBITDA, FY2025 leverage, FY2026 stable outlook, Intelsat closing date, listing details, reported minority interests, and economic-equivalent shares. Illustrative / refresh required: beta inputs, credit spr","ead, peer multiples, and current market price. Before using this as a live investment recommendation, refresh those market-sensitive items from Bloomberg, Capital IQ, FactSet, company filings, or broker data, then compare the validated market price with t","he €")&amp;TEXT(Football_Field!B36,"0.00")&amp;_xlfn.UNICHAR(8211)&amp;"€"&amp;TEXT(Football_Field!C36,"0.00")&amp;" model range."</f>
        <v>Source-backed: FY2023–FY2025 revenue and Adjusted EBITDA, FY2025 leverage, FY2026 stable outlook, Intelsat closing date, listing details, reported minority interests, and economic-equivalent shares. Illustrative / refresh required: beta inputs, credit spread, peer multiples, and current market price. Before using this as a live investment recommendation, refresh those market-sensitive items from Bloomberg, Capital IQ, FactSet, company filings, or broker data, then compare the validated market price with the €8.85–€17.51 model range.</v>
      </c>
      <c r="B38" s="340"/>
      <c r="C38" s="340"/>
      <c r="D38" s="340"/>
      <c r="E38" s="340"/>
      <c r="F38" s="340"/>
      <c r="G38" s="340"/>
      <c r="H38" s="340"/>
    </row>
    <row r="39" spans="1:8" x14ac:dyDescent="0.35">
      <c r="A39" s="340"/>
      <c r="B39" s="340"/>
      <c r="C39" s="340"/>
      <c r="D39" s="340"/>
      <c r="E39" s="340"/>
      <c r="F39" s="340"/>
      <c r="G39" s="340"/>
      <c r="H39" s="340"/>
    </row>
    <row r="40" spans="1:8" x14ac:dyDescent="0.35">
      <c r="A40" s="340"/>
      <c r="B40" s="340"/>
      <c r="C40" s="340"/>
      <c r="D40" s="340"/>
      <c r="E40" s="340"/>
      <c r="F40" s="340"/>
      <c r="G40" s="340"/>
      <c r="H40" s="340"/>
    </row>
    <row r="41" spans="1:8" x14ac:dyDescent="0.35">
      <c r="A41" s="340"/>
      <c r="B41" s="340"/>
      <c r="C41" s="340"/>
      <c r="D41" s="340"/>
      <c r="E41" s="340"/>
      <c r="F41" s="340"/>
      <c r="G41" s="340"/>
      <c r="H41" s="340"/>
    </row>
    <row r="42" spans="1:8" x14ac:dyDescent="0.35">
      <c r="A42" s="368"/>
      <c r="B42" s="368"/>
      <c r="C42" s="368"/>
      <c r="D42" s="368"/>
      <c r="E42" s="368"/>
      <c r="F42" s="368"/>
      <c r="G42" s="368"/>
      <c r="H42" s="368"/>
    </row>
    <row r="43" spans="1:8" ht="27" customHeight="1" x14ac:dyDescent="0.35">
      <c r="A43" s="341" t="s">
        <v>653</v>
      </c>
      <c r="B43" s="341"/>
      <c r="C43" s="341"/>
      <c r="D43" s="341"/>
      <c r="E43" s="341"/>
      <c r="F43" s="341"/>
      <c r="G43" s="341"/>
      <c r="H43" s="341"/>
    </row>
    <row r="46" spans="1:8" x14ac:dyDescent="0.35">
      <c r="A46" s="265" t="s">
        <v>822</v>
      </c>
      <c r="B46" s="265"/>
      <c r="C46" s="265"/>
      <c r="D46" s="265"/>
      <c r="E46" s="265"/>
      <c r="F46" s="265"/>
      <c r="G46" s="265"/>
      <c r="H46" s="265"/>
    </row>
    <row r="47" spans="1:8" ht="18" customHeight="1" x14ac:dyDescent="0.35">
      <c r="A47" s="362" t="str">
        <f>"• Peer multiples are snapshot market-based measures."&amp;CHAR(10)&amp;"• DCF is highly sensitive to WACC and terminal growth."&amp;CHAR(10)&amp;"• Terminal value contributes approximately "&amp;TEXT(DCF!B31,"0%")&amp;" of EV."&amp;CHAR(10)&amp;"• SES remains in a post-Intelsat integration period."&amp;CHAR(10)&amp;"• Valuation outputs should be interpreted as a range, not a precise estimate."</f>
        <v>• Peer multiples are snapshot market-based measures.
• DCF is highly sensitive to WACC and terminal growth.
• Terminal value contributes approximately 80% of EV.
• SES remains in a post-Intelsat integration period.
• Valuation outputs should be interpreted as a range, not a precise estimate.</v>
      </c>
      <c r="B47" s="360"/>
      <c r="C47" s="360"/>
      <c r="D47" s="360"/>
      <c r="E47" s="360"/>
      <c r="F47" s="360"/>
      <c r="G47" s="360"/>
      <c r="H47" s="365"/>
    </row>
    <row r="48" spans="1:8" ht="18" customHeight="1" x14ac:dyDescent="0.35">
      <c r="A48" s="363"/>
      <c r="B48" s="359"/>
      <c r="C48" s="359"/>
      <c r="D48" s="359"/>
      <c r="E48" s="359"/>
      <c r="F48" s="359"/>
      <c r="G48" s="359"/>
      <c r="H48" s="366"/>
    </row>
    <row r="49" spans="1:8" ht="18" customHeight="1" x14ac:dyDescent="0.35">
      <c r="A49" s="363"/>
      <c r="B49" s="359"/>
      <c r="C49" s="359"/>
      <c r="D49" s="359"/>
      <c r="E49" s="359"/>
      <c r="F49" s="359"/>
      <c r="G49" s="359"/>
      <c r="H49" s="366"/>
    </row>
    <row r="50" spans="1:8" ht="18" customHeight="1" x14ac:dyDescent="0.35">
      <c r="A50" s="363"/>
      <c r="B50" s="359"/>
      <c r="C50" s="359"/>
      <c r="D50" s="359"/>
      <c r="E50" s="359"/>
      <c r="F50" s="359"/>
      <c r="G50" s="359"/>
      <c r="H50" s="366"/>
    </row>
    <row r="51" spans="1:8" ht="18" customHeight="1" x14ac:dyDescent="0.35">
      <c r="A51" s="364"/>
      <c r="B51" s="361"/>
      <c r="C51" s="361"/>
      <c r="D51" s="361"/>
      <c r="E51" s="361"/>
      <c r="F51" s="361"/>
      <c r="G51" s="361"/>
      <c r="H51" s="367"/>
    </row>
    <row r="52" spans="1:8" ht="19.5" customHeight="1" x14ac:dyDescent="0.35"/>
    <row r="53" spans="1:8" ht="19.5" customHeight="1" x14ac:dyDescent="0.35"/>
    <row r="54" spans="1:8" ht="19.5" customHeight="1" x14ac:dyDescent="0.35"/>
    <row r="55" spans="1:8" ht="19.5" customHeight="1" x14ac:dyDescent="0.35"/>
    <row r="56" spans="1:8" ht="19.5" customHeight="1" x14ac:dyDescent="0.35"/>
    <row r="57" spans="1:8" ht="19.5" customHeight="1" x14ac:dyDescent="0.35"/>
    <row r="58" spans="1:8" ht="19.5" customHeight="1" x14ac:dyDescent="0.35"/>
    <row r="59" spans="1:8" ht="19.5" customHeight="1" x14ac:dyDescent="0.35"/>
    <row r="60" spans="1:8" ht="19.5" customHeight="1" x14ac:dyDescent="0.35"/>
    <row r="61" spans="1:8" ht="19.5" customHeight="1" x14ac:dyDescent="0.35"/>
    <row r="62" spans="1:8" ht="19.5" customHeight="1" x14ac:dyDescent="0.35"/>
    <row r="63" spans="1:8" ht="19.5" customHeight="1" x14ac:dyDescent="0.35"/>
    <row r="64" spans="1:8" ht="19.5" customHeight="1" x14ac:dyDescent="0.35"/>
    <row r="65" ht="19.5" customHeight="1" x14ac:dyDescent="0.35"/>
    <row r="66" ht="19.5" customHeight="1" x14ac:dyDescent="0.35"/>
    <row r="67" ht="19.5" customHeight="1" x14ac:dyDescent="0.35"/>
    <row r="68" ht="19.5" customHeight="1" x14ac:dyDescent="0.35"/>
    <row r="69" ht="19.5" customHeight="1" x14ac:dyDescent="0.35"/>
    <row r="70" ht="19.5" customHeight="1" x14ac:dyDescent="0.35"/>
    <row r="71" ht="19.5" customHeight="1" x14ac:dyDescent="0.35"/>
    <row r="72" ht="19.5" customHeight="1" x14ac:dyDescent="0.35"/>
    <row r="73" ht="19.5" customHeight="1" x14ac:dyDescent="0.35"/>
    <row r="74" ht="19.5" customHeight="1" x14ac:dyDescent="0.35"/>
    <row r="75" ht="19.5" customHeight="1" x14ac:dyDescent="0.35"/>
    <row r="76" ht="19.5" customHeight="1" x14ac:dyDescent="0.35"/>
    <row r="77" ht="19.5" customHeight="1" x14ac:dyDescent="0.35"/>
    <row r="78" ht="19.5" customHeight="1" x14ac:dyDescent="0.35"/>
    <row r="79" ht="19.5" customHeight="1" x14ac:dyDescent="0.35"/>
  </sheetData>
  <mergeCells count="34">
    <mergeCell ref="A46:H46"/>
    <mergeCell ref="A47:H51"/>
    <mergeCell ref="D19:H19"/>
    <mergeCell ref="D20:H20"/>
    <mergeCell ref="D21:H21"/>
    <mergeCell ref="D22:H22"/>
    <mergeCell ref="A24:H24"/>
    <mergeCell ref="A10:H10"/>
    <mergeCell ref="A11:H14"/>
    <mergeCell ref="A16:H16"/>
    <mergeCell ref="D17:H17"/>
    <mergeCell ref="D18:H18"/>
    <mergeCell ref="A1:H1"/>
    <mergeCell ref="A2:H2"/>
    <mergeCell ref="A4:H4"/>
    <mergeCell ref="A5:B5"/>
    <mergeCell ref="A6:B8"/>
    <mergeCell ref="C5:D5"/>
    <mergeCell ref="C6:D8"/>
    <mergeCell ref="E5:F5"/>
    <mergeCell ref="E6:F8"/>
    <mergeCell ref="G5:H5"/>
    <mergeCell ref="G6:H8"/>
    <mergeCell ref="A25:H25"/>
    <mergeCell ref="A26:H26"/>
    <mergeCell ref="A27:H27"/>
    <mergeCell ref="A28:H28"/>
    <mergeCell ref="A30:D30"/>
    <mergeCell ref="E30:H30"/>
    <mergeCell ref="A31:D35"/>
    <mergeCell ref="E31:H35"/>
    <mergeCell ref="A37:H37"/>
    <mergeCell ref="A38:H41"/>
    <mergeCell ref="A43:H43"/>
  </mergeCells>
  <pageMargins left="0.75" right="0.75" top="1" bottom="1" header="0.511811023622047" footer="0.511811023622047"/>
  <pageSetup paperSize="9" scale="55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1D87C-AA7B-4AFA-90B0-8B4BFF415A39}">
  <sheetPr>
    <tabColor rgb="FF4472C4"/>
  </sheetPr>
  <dimension ref="A1:G78"/>
  <sheetViews>
    <sheetView showGridLines="0" workbookViewId="0">
      <selection activeCell="C69" sqref="C69"/>
    </sheetView>
  </sheetViews>
  <sheetFormatPr defaultColWidth="8.7265625" defaultRowHeight="14.5" x14ac:dyDescent="0.35"/>
  <cols>
    <col min="1" max="1" width="30" customWidth="1"/>
    <col min="2" max="6" width="13.6328125" customWidth="1"/>
    <col min="7" max="7" width="36.36328125" customWidth="1"/>
    <col min="8" max="14" width="14" customWidth="1"/>
  </cols>
  <sheetData>
    <row r="1" spans="1:7" ht="23.5" x14ac:dyDescent="0.55000000000000004">
      <c r="A1" s="293" t="s">
        <v>138</v>
      </c>
      <c r="B1" s="293"/>
      <c r="C1" s="293"/>
      <c r="D1" s="293"/>
      <c r="E1" s="293"/>
      <c r="F1" s="293"/>
      <c r="G1" s="293"/>
    </row>
    <row r="2" spans="1:7" x14ac:dyDescent="0.35">
      <c r="A2" s="294" t="s">
        <v>139</v>
      </c>
      <c r="B2" s="294"/>
      <c r="C2" s="294"/>
      <c r="D2" s="294"/>
      <c r="E2" s="294"/>
      <c r="F2" s="294"/>
      <c r="G2" s="294"/>
    </row>
    <row r="3" spans="1:7" x14ac:dyDescent="0.35">
      <c r="A3" s="1"/>
      <c r="B3" s="1"/>
      <c r="C3" s="1"/>
      <c r="D3" s="1"/>
      <c r="E3" s="1"/>
      <c r="F3" s="1"/>
      <c r="G3" s="1"/>
    </row>
    <row r="4" spans="1:7" x14ac:dyDescent="0.35">
      <c r="A4" s="289" t="s">
        <v>140</v>
      </c>
      <c r="B4" s="289"/>
      <c r="C4" s="289"/>
      <c r="D4" s="289"/>
      <c r="E4" s="289"/>
      <c r="F4" s="289"/>
      <c r="G4" s="289"/>
    </row>
    <row r="5" spans="1:7" x14ac:dyDescent="0.35">
      <c r="A5" s="130" t="s">
        <v>2</v>
      </c>
      <c r="B5" s="8" t="s">
        <v>3</v>
      </c>
      <c r="C5" s="292" t="s">
        <v>141</v>
      </c>
      <c r="D5" s="292"/>
      <c r="E5" s="292"/>
      <c r="F5" s="292"/>
      <c r="G5" s="292"/>
    </row>
    <row r="6" spans="1:7" x14ac:dyDescent="0.35">
      <c r="A6" s="131" t="s">
        <v>4</v>
      </c>
      <c r="B6" s="9" t="s">
        <v>5</v>
      </c>
      <c r="C6" s="290" t="s">
        <v>142</v>
      </c>
      <c r="D6" s="290"/>
      <c r="E6" s="290"/>
      <c r="F6" s="290"/>
      <c r="G6" s="290"/>
    </row>
    <row r="7" spans="1:7" x14ac:dyDescent="0.35">
      <c r="A7" s="131" t="s">
        <v>6</v>
      </c>
      <c r="B7" s="11">
        <f>INDEX($B$32:$B$34,MATCH($B$5,$A$32:$A$34,0))</f>
        <v>7.1999999999999995E-2</v>
      </c>
      <c r="C7" s="290" t="s">
        <v>143</v>
      </c>
      <c r="D7" s="290"/>
      <c r="E7" s="290"/>
      <c r="F7" s="290"/>
      <c r="G7" s="290"/>
    </row>
    <row r="8" spans="1:7" x14ac:dyDescent="0.35">
      <c r="A8" s="131" t="s">
        <v>7</v>
      </c>
      <c r="B8" s="11">
        <f>INDEX($C$32:$C$34,MATCH($B$5,$A$32:$A$34,0))</f>
        <v>1.4999999999999999E-2</v>
      </c>
      <c r="C8" s="290" t="s">
        <v>144</v>
      </c>
      <c r="D8" s="290"/>
      <c r="E8" s="290"/>
      <c r="F8" s="290"/>
      <c r="G8" s="290"/>
    </row>
    <row r="9" spans="1:7" x14ac:dyDescent="0.35">
      <c r="A9" s="131" t="s">
        <v>8</v>
      </c>
      <c r="B9" s="12">
        <v>0.6</v>
      </c>
      <c r="C9" s="290" t="s">
        <v>145</v>
      </c>
      <c r="D9" s="290"/>
      <c r="E9" s="290"/>
      <c r="F9" s="290"/>
      <c r="G9" s="290"/>
    </row>
    <row r="10" spans="1:7" x14ac:dyDescent="0.35">
      <c r="A10" s="131" t="s">
        <v>9</v>
      </c>
      <c r="B10" s="12">
        <v>0.4</v>
      </c>
      <c r="C10" s="290" t="s">
        <v>146</v>
      </c>
      <c r="D10" s="290"/>
      <c r="E10" s="290"/>
      <c r="F10" s="290"/>
      <c r="G10" s="290"/>
    </row>
    <row r="11" spans="1:7" x14ac:dyDescent="0.35">
      <c r="A11" s="1"/>
      <c r="B11" s="1"/>
      <c r="C11" s="1"/>
      <c r="D11" s="1"/>
      <c r="E11" s="1"/>
      <c r="F11" s="1"/>
      <c r="G11" s="1"/>
    </row>
    <row r="12" spans="1:7" x14ac:dyDescent="0.35">
      <c r="A12" s="1"/>
      <c r="B12" s="1"/>
      <c r="C12" s="1"/>
      <c r="D12" s="1"/>
      <c r="E12" s="1"/>
      <c r="F12" s="1"/>
      <c r="G12" s="1"/>
    </row>
    <row r="13" spans="1:7" x14ac:dyDescent="0.35">
      <c r="A13" s="289" t="s">
        <v>147</v>
      </c>
      <c r="B13" s="289"/>
      <c r="C13" s="289"/>
      <c r="D13" s="289"/>
      <c r="E13" s="289"/>
      <c r="F13" s="289"/>
      <c r="G13" s="289"/>
    </row>
    <row r="14" spans="1:7" x14ac:dyDescent="0.35">
      <c r="A14" s="132" t="s">
        <v>10</v>
      </c>
      <c r="B14" s="132" t="s">
        <v>11</v>
      </c>
      <c r="C14" s="132" t="s">
        <v>12</v>
      </c>
      <c r="D14" s="132" t="s">
        <v>13</v>
      </c>
      <c r="E14" s="132" t="s">
        <v>14</v>
      </c>
      <c r="F14" s="132" t="s">
        <v>15</v>
      </c>
      <c r="G14" s="132" t="s">
        <v>148</v>
      </c>
    </row>
    <row r="15" spans="1:7" ht="58" x14ac:dyDescent="0.35">
      <c r="A15" s="14" t="s">
        <v>16</v>
      </c>
      <c r="B15" s="15">
        <f>SUMIFS($C$39:$C$56,$A$39:$A$56,$B$5,$B$39:$B$56,$A15)</f>
        <v>0</v>
      </c>
      <c r="C15" s="15">
        <f>SUMIFS($D$39:$D$56,$A$39:$A$56,$B$5,$B$39:$B$56,$A15)</f>
        <v>1.4999999999999999E-2</v>
      </c>
      <c r="D15" s="15">
        <f>SUMIFS($E$39:$E$56,$A$39:$A$56,$B$5,$B$39:$B$56,$A15)</f>
        <v>0.02</v>
      </c>
      <c r="E15" s="15">
        <f>SUMIFS($F$39:$F$56,$A$39:$A$56,$B$5,$B$39:$B$56,$A15)</f>
        <v>2.5000000000000001E-2</v>
      </c>
      <c r="F15" s="15">
        <f>SUMIFS($G$39:$G$56,$A$39:$A$56,$B$5,$B$39:$B$56,$A15)</f>
        <v>2.5000000000000001E-2</v>
      </c>
      <c r="G15" s="10" t="s">
        <v>149</v>
      </c>
    </row>
    <row r="16" spans="1:7" ht="58" x14ac:dyDescent="0.35">
      <c r="A16" s="14" t="s">
        <v>17</v>
      </c>
      <c r="B16" s="15">
        <f t="shared" ref="B16:B20" si="0">SUMIFS($C$39:$C$56,$A$39:$A$56,$B$5,$B$39:$B$56,$A16)</f>
        <v>0.45500000000000002</v>
      </c>
      <c r="C16" s="15">
        <f t="shared" ref="C16:C20" si="1">SUMIFS($D$39:$D$56,$A$39:$A$56,$B$5,$B$39:$B$56,$A16)</f>
        <v>0.47</v>
      </c>
      <c r="D16" s="15">
        <f t="shared" ref="D16:D20" si="2">SUMIFS($E$39:$E$56,$A$39:$A$56,$B$5,$B$39:$B$56,$A16)</f>
        <v>0.48</v>
      </c>
      <c r="E16" s="15">
        <f t="shared" ref="E16:E20" si="3">SUMIFS($F$39:$F$56,$A$39:$A$56,$B$5,$B$39:$B$56,$A16)</f>
        <v>0.48499999999999999</v>
      </c>
      <c r="F16" s="15">
        <f t="shared" ref="F16:F20" si="4">SUMIFS($G$39:$G$56,$A$39:$A$56,$B$5,$B$39:$B$56,$A16)</f>
        <v>0.49</v>
      </c>
      <c r="G16" s="10" t="s">
        <v>150</v>
      </c>
    </row>
    <row r="17" spans="1:7" ht="43.5" x14ac:dyDescent="0.35">
      <c r="A17" s="14" t="s">
        <v>18</v>
      </c>
      <c r="B17" s="15">
        <f t="shared" si="0"/>
        <v>0.26</v>
      </c>
      <c r="C17" s="15">
        <f t="shared" si="1"/>
        <v>0.25</v>
      </c>
      <c r="D17" s="15">
        <f t="shared" si="2"/>
        <v>0.24</v>
      </c>
      <c r="E17" s="15">
        <f t="shared" si="3"/>
        <v>0.23</v>
      </c>
      <c r="F17" s="15">
        <f t="shared" si="4"/>
        <v>0.22500000000000001</v>
      </c>
      <c r="G17" s="10" t="s">
        <v>151</v>
      </c>
    </row>
    <row r="18" spans="1:7" ht="58" x14ac:dyDescent="0.35">
      <c r="A18" s="14" t="s">
        <v>19</v>
      </c>
      <c r="B18" s="15">
        <f t="shared" si="0"/>
        <v>0.26400000000000001</v>
      </c>
      <c r="C18" s="15">
        <f t="shared" si="1"/>
        <v>0.22</v>
      </c>
      <c r="D18" s="15">
        <f t="shared" si="2"/>
        <v>0.19</v>
      </c>
      <c r="E18" s="15">
        <f t="shared" si="3"/>
        <v>0.17</v>
      </c>
      <c r="F18" s="15">
        <f t="shared" si="4"/>
        <v>0.16</v>
      </c>
      <c r="G18" s="10" t="s">
        <v>152</v>
      </c>
    </row>
    <row r="19" spans="1:7" ht="43.5" x14ac:dyDescent="0.35">
      <c r="A19" s="14" t="s">
        <v>758</v>
      </c>
      <c r="B19" s="15">
        <f t="shared" si="0"/>
        <v>5.0000000000000001E-3</v>
      </c>
      <c r="C19" s="15">
        <f t="shared" si="1"/>
        <v>5.0000000000000001E-3</v>
      </c>
      <c r="D19" s="15">
        <f t="shared" si="2"/>
        <v>5.0000000000000001E-3</v>
      </c>
      <c r="E19" s="15">
        <f t="shared" si="3"/>
        <v>5.0000000000000001E-3</v>
      </c>
      <c r="F19" s="15">
        <f t="shared" si="4"/>
        <v>5.0000000000000001E-3</v>
      </c>
      <c r="G19" s="10" t="s">
        <v>153</v>
      </c>
    </row>
    <row r="20" spans="1:7" ht="58" x14ac:dyDescent="0.35">
      <c r="A20" s="14" t="s">
        <v>20</v>
      </c>
      <c r="B20" s="15">
        <f t="shared" si="0"/>
        <v>0.2387</v>
      </c>
      <c r="C20" s="15">
        <f t="shared" si="1"/>
        <v>0.2387</v>
      </c>
      <c r="D20" s="15">
        <f t="shared" si="2"/>
        <v>0.2387</v>
      </c>
      <c r="E20" s="15">
        <f t="shared" si="3"/>
        <v>0.2387</v>
      </c>
      <c r="F20" s="15">
        <f t="shared" si="4"/>
        <v>0.2387</v>
      </c>
      <c r="G20" s="10" t="s">
        <v>154</v>
      </c>
    </row>
    <row r="21" spans="1:7" x14ac:dyDescent="0.35">
      <c r="A21" s="1"/>
      <c r="B21" s="1"/>
      <c r="C21" s="1"/>
      <c r="D21" s="1"/>
      <c r="E21" s="1"/>
      <c r="F21" s="1"/>
      <c r="G21" s="1"/>
    </row>
    <row r="22" spans="1:7" x14ac:dyDescent="0.35">
      <c r="A22" s="1"/>
      <c r="B22" s="1"/>
      <c r="C22" s="1"/>
      <c r="D22" s="1"/>
      <c r="E22" s="1"/>
      <c r="F22" s="1"/>
      <c r="G22" s="1"/>
    </row>
    <row r="23" spans="1:7" x14ac:dyDescent="0.35">
      <c r="A23" s="289" t="s">
        <v>155</v>
      </c>
      <c r="B23" s="289"/>
      <c r="C23" s="289"/>
      <c r="D23" s="289"/>
      <c r="E23" s="289"/>
      <c r="F23" s="289"/>
      <c r="G23" s="289"/>
    </row>
    <row r="24" spans="1:7" x14ac:dyDescent="0.35">
      <c r="A24" s="13" t="s">
        <v>21</v>
      </c>
      <c r="B24" s="16">
        <f>Data_Raw!D7</f>
        <v>1196</v>
      </c>
      <c r="C24" s="292" t="s">
        <v>156</v>
      </c>
      <c r="D24" s="292"/>
      <c r="E24" s="292"/>
      <c r="F24" s="292"/>
      <c r="G24" s="292"/>
    </row>
    <row r="25" spans="1:7" x14ac:dyDescent="0.35">
      <c r="A25" s="14" t="s">
        <v>22</v>
      </c>
      <c r="B25" s="17">
        <f>Data_Raw!D9</f>
        <v>3.9</v>
      </c>
      <c r="C25" s="290" t="s">
        <v>157</v>
      </c>
      <c r="D25" s="290"/>
      <c r="E25" s="290"/>
      <c r="F25" s="290"/>
      <c r="G25" s="290"/>
    </row>
    <row r="26" spans="1:7" x14ac:dyDescent="0.35">
      <c r="A26" s="14" t="s">
        <v>789</v>
      </c>
      <c r="B26" s="347">
        <v>91</v>
      </c>
      <c r="C26" s="290" t="s">
        <v>790</v>
      </c>
      <c r="D26" s="290"/>
      <c r="E26" s="290"/>
      <c r="F26" s="290"/>
      <c r="G26" s="290"/>
    </row>
    <row r="27" spans="1:7" x14ac:dyDescent="0.35">
      <c r="A27" s="14" t="s">
        <v>791</v>
      </c>
      <c r="B27" s="348">
        <v>417.00622079999999</v>
      </c>
      <c r="C27" s="290" t="s">
        <v>792</v>
      </c>
      <c r="D27" s="290"/>
      <c r="E27" s="290"/>
      <c r="F27" s="290"/>
      <c r="G27" s="290"/>
    </row>
    <row r="28" spans="1:7" x14ac:dyDescent="0.35">
      <c r="A28" s="1"/>
      <c r="B28" s="1"/>
      <c r="C28" s="1"/>
      <c r="D28" s="1"/>
      <c r="E28" s="1"/>
      <c r="F28" s="1"/>
      <c r="G28" s="1"/>
    </row>
    <row r="29" spans="1:7" x14ac:dyDescent="0.35">
      <c r="A29" s="1"/>
      <c r="B29" s="1"/>
      <c r="C29" s="1"/>
      <c r="D29" s="1"/>
      <c r="E29" s="1"/>
      <c r="F29" s="1"/>
      <c r="G29" s="1"/>
    </row>
    <row r="30" spans="1:7" x14ac:dyDescent="0.35">
      <c r="A30" s="289" t="s">
        <v>158</v>
      </c>
      <c r="B30" s="289"/>
      <c r="C30" s="289"/>
      <c r="D30" s="289"/>
      <c r="E30" s="289"/>
      <c r="F30" s="289"/>
      <c r="G30" s="289"/>
    </row>
    <row r="31" spans="1:7" ht="29" x14ac:dyDescent="0.35">
      <c r="A31" s="132" t="s">
        <v>159</v>
      </c>
      <c r="B31" s="132" t="s">
        <v>55</v>
      </c>
      <c r="C31" s="141" t="s">
        <v>77</v>
      </c>
      <c r="D31" s="141" t="s">
        <v>160</v>
      </c>
      <c r="E31" s="132"/>
      <c r="F31" s="132"/>
      <c r="G31" s="132"/>
    </row>
    <row r="32" spans="1:7" x14ac:dyDescent="0.35">
      <c r="A32" s="18" t="s">
        <v>3</v>
      </c>
      <c r="B32" s="19">
        <v>7.1999999999999995E-2</v>
      </c>
      <c r="C32" s="19">
        <v>1.4999999999999999E-2</v>
      </c>
      <c r="D32" s="288" t="s">
        <v>161</v>
      </c>
      <c r="E32" s="288"/>
      <c r="F32" s="288"/>
      <c r="G32" s="288"/>
    </row>
    <row r="33" spans="1:7" x14ac:dyDescent="0.35">
      <c r="A33" s="133" t="s">
        <v>94</v>
      </c>
      <c r="B33" s="134">
        <v>6.7000000000000004E-2</v>
      </c>
      <c r="C33" s="134">
        <v>0.02</v>
      </c>
      <c r="D33" s="291" t="s">
        <v>162</v>
      </c>
      <c r="E33" s="291"/>
      <c r="F33" s="291"/>
      <c r="G33" s="291"/>
    </row>
    <row r="34" spans="1:7" x14ac:dyDescent="0.35">
      <c r="A34" s="18" t="s">
        <v>95</v>
      </c>
      <c r="B34" s="19">
        <v>7.6999999999999999E-2</v>
      </c>
      <c r="C34" s="19">
        <v>0.01</v>
      </c>
      <c r="D34" s="288" t="s">
        <v>163</v>
      </c>
      <c r="E34" s="288"/>
      <c r="F34" s="288"/>
      <c r="G34" s="288"/>
    </row>
    <row r="35" spans="1:7" x14ac:dyDescent="0.35">
      <c r="A35" s="1"/>
      <c r="B35" s="1"/>
      <c r="C35" s="1"/>
      <c r="D35" s="1"/>
      <c r="E35" s="1"/>
      <c r="F35" s="1"/>
      <c r="G35" s="1"/>
    </row>
    <row r="36" spans="1:7" x14ac:dyDescent="0.35">
      <c r="A36" s="1"/>
      <c r="B36" s="1"/>
      <c r="C36" s="1"/>
      <c r="D36" s="1"/>
      <c r="E36" s="1"/>
      <c r="F36" s="1"/>
      <c r="G36" s="1"/>
    </row>
    <row r="37" spans="1:7" x14ac:dyDescent="0.35">
      <c r="A37" s="289" t="s">
        <v>164</v>
      </c>
      <c r="B37" s="289"/>
      <c r="C37" s="289"/>
      <c r="D37" s="289"/>
      <c r="E37" s="289"/>
      <c r="F37" s="289"/>
      <c r="G37" s="289"/>
    </row>
    <row r="38" spans="1:7" x14ac:dyDescent="0.35">
      <c r="A38" s="132" t="s">
        <v>159</v>
      </c>
      <c r="B38" s="132" t="s">
        <v>10</v>
      </c>
      <c r="C38" s="132" t="s">
        <v>11</v>
      </c>
      <c r="D38" s="132" t="s">
        <v>12</v>
      </c>
      <c r="E38" s="132" t="s">
        <v>13</v>
      </c>
      <c r="F38" s="132" t="s">
        <v>14</v>
      </c>
      <c r="G38" s="132" t="s">
        <v>15</v>
      </c>
    </row>
    <row r="39" spans="1:7" x14ac:dyDescent="0.35">
      <c r="A39" s="136" t="s">
        <v>3</v>
      </c>
      <c r="B39" s="137" t="s">
        <v>16</v>
      </c>
      <c r="C39" s="134">
        <v>0</v>
      </c>
      <c r="D39" s="134">
        <v>1.4999999999999999E-2</v>
      </c>
      <c r="E39" s="134">
        <v>0.02</v>
      </c>
      <c r="F39" s="134">
        <v>2.5000000000000001E-2</v>
      </c>
      <c r="G39" s="134">
        <v>2.5000000000000001E-2</v>
      </c>
    </row>
    <row r="40" spans="1:7" x14ac:dyDescent="0.35">
      <c r="A40" s="14" t="s">
        <v>3</v>
      </c>
      <c r="B40" s="28" t="s">
        <v>17</v>
      </c>
      <c r="C40" s="19">
        <v>0.45500000000000002</v>
      </c>
      <c r="D40" s="19">
        <v>0.47</v>
      </c>
      <c r="E40" s="19">
        <v>0.48</v>
      </c>
      <c r="F40" s="19">
        <v>0.48499999999999999</v>
      </c>
      <c r="G40" s="19">
        <v>0.49</v>
      </c>
    </row>
    <row r="41" spans="1:7" x14ac:dyDescent="0.35">
      <c r="A41" s="136" t="s">
        <v>3</v>
      </c>
      <c r="B41" s="137" t="s">
        <v>18</v>
      </c>
      <c r="C41" s="134">
        <v>0.26</v>
      </c>
      <c r="D41" s="134">
        <v>0.25</v>
      </c>
      <c r="E41" s="134">
        <v>0.24</v>
      </c>
      <c r="F41" s="134">
        <v>0.23</v>
      </c>
      <c r="G41" s="134">
        <v>0.22500000000000001</v>
      </c>
    </row>
    <row r="42" spans="1:7" x14ac:dyDescent="0.35">
      <c r="A42" s="14" t="s">
        <v>3</v>
      </c>
      <c r="B42" s="28" t="s">
        <v>19</v>
      </c>
      <c r="C42" s="19">
        <v>0.26400000000000001</v>
      </c>
      <c r="D42" s="19">
        <v>0.22</v>
      </c>
      <c r="E42" s="19">
        <v>0.19</v>
      </c>
      <c r="F42" s="19">
        <v>0.17</v>
      </c>
      <c r="G42" s="19">
        <v>0.16</v>
      </c>
    </row>
    <row r="43" spans="1:7" ht="29" x14ac:dyDescent="0.35">
      <c r="A43" s="136" t="s">
        <v>3</v>
      </c>
      <c r="B43" s="137" t="s">
        <v>758</v>
      </c>
      <c r="C43" s="134">
        <v>5.0000000000000001E-3</v>
      </c>
      <c r="D43" s="134">
        <v>5.0000000000000001E-3</v>
      </c>
      <c r="E43" s="134">
        <v>5.0000000000000001E-3</v>
      </c>
      <c r="F43" s="134">
        <v>5.0000000000000001E-3</v>
      </c>
      <c r="G43" s="134">
        <v>5.0000000000000001E-3</v>
      </c>
    </row>
    <row r="44" spans="1:7" x14ac:dyDescent="0.35">
      <c r="A44" s="14" t="s">
        <v>3</v>
      </c>
      <c r="B44" s="21" t="s">
        <v>20</v>
      </c>
      <c r="C44" s="19">
        <v>0.2387</v>
      </c>
      <c r="D44" s="19">
        <v>0.2387</v>
      </c>
      <c r="E44" s="19">
        <v>0.2387</v>
      </c>
      <c r="F44" s="19">
        <v>0.2387</v>
      </c>
      <c r="G44" s="19">
        <v>0.2387</v>
      </c>
    </row>
    <row r="45" spans="1:7" x14ac:dyDescent="0.35">
      <c r="A45" s="136" t="s">
        <v>94</v>
      </c>
      <c r="B45" s="137" t="s">
        <v>16</v>
      </c>
      <c r="C45" s="134">
        <v>5.0000000000000001E-3</v>
      </c>
      <c r="D45" s="134">
        <v>2.5000000000000001E-2</v>
      </c>
      <c r="E45" s="134">
        <v>0.03</v>
      </c>
      <c r="F45" s="134">
        <v>0.03</v>
      </c>
      <c r="G45" s="134">
        <v>0.03</v>
      </c>
    </row>
    <row r="46" spans="1:7" x14ac:dyDescent="0.35">
      <c r="A46" s="14" t="s">
        <v>94</v>
      </c>
      <c r="B46" s="28" t="s">
        <v>17</v>
      </c>
      <c r="C46" s="19">
        <v>0.46</v>
      </c>
      <c r="D46" s="19">
        <v>0.48</v>
      </c>
      <c r="E46" s="19">
        <v>0.49</v>
      </c>
      <c r="F46" s="19">
        <v>0.5</v>
      </c>
      <c r="G46" s="19">
        <v>0.505</v>
      </c>
    </row>
    <row r="47" spans="1:7" x14ac:dyDescent="0.35">
      <c r="A47" s="136" t="s">
        <v>94</v>
      </c>
      <c r="B47" s="137" t="s">
        <v>18</v>
      </c>
      <c r="C47" s="134">
        <v>0.26</v>
      </c>
      <c r="D47" s="134">
        <v>0.248</v>
      </c>
      <c r="E47" s="134">
        <v>0.23499999999999999</v>
      </c>
      <c r="F47" s="134">
        <v>0.22500000000000001</v>
      </c>
      <c r="G47" s="134">
        <v>0.22</v>
      </c>
    </row>
    <row r="48" spans="1:7" x14ac:dyDescent="0.35">
      <c r="A48" s="14" t="s">
        <v>94</v>
      </c>
      <c r="B48" s="28" t="s">
        <v>19</v>
      </c>
      <c r="C48" s="19">
        <v>0.255</v>
      </c>
      <c r="D48" s="19">
        <v>0.21</v>
      </c>
      <c r="E48" s="19">
        <v>0.18</v>
      </c>
      <c r="F48" s="19">
        <v>0.16</v>
      </c>
      <c r="G48" s="19">
        <v>0.15</v>
      </c>
    </row>
    <row r="49" spans="1:7" ht="29" x14ac:dyDescent="0.35">
      <c r="A49" s="136" t="s">
        <v>94</v>
      </c>
      <c r="B49" s="137" t="s">
        <v>758</v>
      </c>
      <c r="C49" s="134">
        <v>5.0000000000000001E-3</v>
      </c>
      <c r="D49" s="134">
        <v>5.0000000000000001E-3</v>
      </c>
      <c r="E49" s="134">
        <v>5.0000000000000001E-3</v>
      </c>
      <c r="F49" s="134">
        <v>5.0000000000000001E-3</v>
      </c>
      <c r="G49" s="134">
        <v>5.0000000000000001E-3</v>
      </c>
    </row>
    <row r="50" spans="1:7" x14ac:dyDescent="0.35">
      <c r="A50" s="14" t="s">
        <v>94</v>
      </c>
      <c r="B50" s="21" t="s">
        <v>20</v>
      </c>
      <c r="C50" s="19">
        <v>0.2387</v>
      </c>
      <c r="D50" s="19">
        <v>0.2387</v>
      </c>
      <c r="E50" s="19">
        <v>0.2387</v>
      </c>
      <c r="F50" s="19">
        <v>0.2387</v>
      </c>
      <c r="G50" s="19">
        <v>0.2387</v>
      </c>
    </row>
    <row r="51" spans="1:7" x14ac:dyDescent="0.35">
      <c r="A51" s="136" t="s">
        <v>95</v>
      </c>
      <c r="B51" s="137" t="s">
        <v>16</v>
      </c>
      <c r="C51" s="134">
        <v>-1.4999999999999999E-2</v>
      </c>
      <c r="D51" s="134">
        <v>0</v>
      </c>
      <c r="E51" s="134">
        <v>5.0000000000000001E-3</v>
      </c>
      <c r="F51" s="134">
        <v>0.01</v>
      </c>
      <c r="G51" s="134">
        <v>1.4999999999999999E-2</v>
      </c>
    </row>
    <row r="52" spans="1:7" x14ac:dyDescent="0.35">
      <c r="A52" s="14" t="s">
        <v>95</v>
      </c>
      <c r="B52" s="28" t="s">
        <v>17</v>
      </c>
      <c r="C52" s="19">
        <v>0.44</v>
      </c>
      <c r="D52" s="19">
        <v>0.44500000000000001</v>
      </c>
      <c r="E52" s="19">
        <v>0.45</v>
      </c>
      <c r="F52" s="19">
        <v>0.45500000000000002</v>
      </c>
      <c r="G52" s="19">
        <v>0.46</v>
      </c>
    </row>
    <row r="53" spans="1:7" x14ac:dyDescent="0.35">
      <c r="A53" s="136" t="s">
        <v>95</v>
      </c>
      <c r="B53" s="137" t="s">
        <v>18</v>
      </c>
      <c r="C53" s="134">
        <v>0.27</v>
      </c>
      <c r="D53" s="134">
        <v>0.26</v>
      </c>
      <c r="E53" s="134">
        <v>0.25</v>
      </c>
      <c r="F53" s="134">
        <v>0.24</v>
      </c>
      <c r="G53" s="134">
        <v>0.23499999999999999</v>
      </c>
    </row>
    <row r="54" spans="1:7" x14ac:dyDescent="0.35">
      <c r="A54" s="14" t="s">
        <v>95</v>
      </c>
      <c r="B54" s="28" t="s">
        <v>19</v>
      </c>
      <c r="C54" s="19">
        <v>0.28000000000000003</v>
      </c>
      <c r="D54" s="19">
        <v>0.24</v>
      </c>
      <c r="E54" s="19">
        <v>0.21</v>
      </c>
      <c r="F54" s="19">
        <v>0.19</v>
      </c>
      <c r="G54" s="19">
        <v>0.18</v>
      </c>
    </row>
    <row r="55" spans="1:7" ht="29" x14ac:dyDescent="0.35">
      <c r="A55" s="136" t="s">
        <v>95</v>
      </c>
      <c r="B55" s="137" t="s">
        <v>758</v>
      </c>
      <c r="C55" s="134">
        <v>7.0000000000000001E-3</v>
      </c>
      <c r="D55" s="134">
        <v>7.0000000000000001E-3</v>
      </c>
      <c r="E55" s="134">
        <v>7.0000000000000001E-3</v>
      </c>
      <c r="F55" s="134">
        <v>7.0000000000000001E-3</v>
      </c>
      <c r="G55" s="134">
        <v>7.0000000000000001E-3</v>
      </c>
    </row>
    <row r="56" spans="1:7" x14ac:dyDescent="0.35">
      <c r="A56" s="14" t="s">
        <v>95</v>
      </c>
      <c r="B56" s="21" t="s">
        <v>20</v>
      </c>
      <c r="C56" s="19">
        <v>0.2387</v>
      </c>
      <c r="D56" s="19">
        <v>0.2387</v>
      </c>
      <c r="E56" s="19">
        <v>0.2387</v>
      </c>
      <c r="F56" s="19">
        <v>0.2387</v>
      </c>
      <c r="G56" s="19">
        <v>0.2387</v>
      </c>
    </row>
    <row r="59" spans="1:7" x14ac:dyDescent="0.35">
      <c r="A59" s="289" t="s">
        <v>793</v>
      </c>
      <c r="B59" s="289"/>
      <c r="C59" s="289"/>
      <c r="D59" s="289"/>
      <c r="E59" s="289"/>
      <c r="F59" s="289"/>
      <c r="G59" s="289"/>
    </row>
    <row r="60" spans="1:7" x14ac:dyDescent="0.35">
      <c r="A60" s="132" t="s">
        <v>794</v>
      </c>
      <c r="B60" s="375" t="s">
        <v>795</v>
      </c>
      <c r="C60" s="375"/>
    </row>
    <row r="61" spans="1:7" x14ac:dyDescent="0.35">
      <c r="A61" s="349" t="s">
        <v>796</v>
      </c>
      <c r="B61" s="351" t="s">
        <v>797</v>
      </c>
    </row>
    <row r="62" spans="1:7" x14ac:dyDescent="0.35">
      <c r="A62" s="349" t="s">
        <v>798</v>
      </c>
      <c r="B62" s="351" t="s">
        <v>797</v>
      </c>
    </row>
    <row r="63" spans="1:7" x14ac:dyDescent="0.35">
      <c r="A63" s="349" t="s">
        <v>799</v>
      </c>
      <c r="B63" s="351" t="s">
        <v>800</v>
      </c>
    </row>
    <row r="64" spans="1:7" x14ac:dyDescent="0.35">
      <c r="A64" s="349" t="s">
        <v>55</v>
      </c>
      <c r="B64" s="351" t="s">
        <v>801</v>
      </c>
    </row>
    <row r="65" spans="1:3" x14ac:dyDescent="0.35">
      <c r="A65" s="349" t="s">
        <v>802</v>
      </c>
      <c r="B65" s="351" t="s">
        <v>800</v>
      </c>
    </row>
    <row r="66" spans="1:3" x14ac:dyDescent="0.35">
      <c r="A66" s="350" t="s">
        <v>803</v>
      </c>
      <c r="B66" s="376" t="s">
        <v>800</v>
      </c>
      <c r="C66" s="376"/>
    </row>
    <row r="67" spans="1:3" ht="19.5" customHeight="1" x14ac:dyDescent="0.35"/>
    <row r="68" spans="1:3" ht="19.5" customHeight="1" x14ac:dyDescent="0.35"/>
    <row r="69" spans="1:3" ht="19.5" customHeight="1" x14ac:dyDescent="0.35"/>
    <row r="70" spans="1:3" ht="19.5" customHeight="1" x14ac:dyDescent="0.35"/>
    <row r="71" spans="1:3" ht="19.5" customHeight="1" x14ac:dyDescent="0.35"/>
    <row r="72" spans="1:3" ht="19.5" customHeight="1" x14ac:dyDescent="0.35"/>
    <row r="73" spans="1:3" ht="19.5" customHeight="1" x14ac:dyDescent="0.35"/>
    <row r="74" spans="1:3" ht="19.5" customHeight="1" x14ac:dyDescent="0.35"/>
    <row r="75" spans="1:3" ht="19.5" customHeight="1" x14ac:dyDescent="0.35"/>
    <row r="76" spans="1:3" ht="19.5" customHeight="1" x14ac:dyDescent="0.35"/>
    <row r="77" spans="1:3" ht="19.5" customHeight="1" x14ac:dyDescent="0.35"/>
    <row r="78" spans="1:3" ht="19.5" customHeight="1" x14ac:dyDescent="0.35"/>
  </sheetData>
  <mergeCells count="23">
    <mergeCell ref="A59:G59"/>
    <mergeCell ref="B60:C60"/>
    <mergeCell ref="B66:C66"/>
    <mergeCell ref="C24:G24"/>
    <mergeCell ref="A1:G1"/>
    <mergeCell ref="A2:G2"/>
    <mergeCell ref="A4:G4"/>
    <mergeCell ref="C5:G5"/>
    <mergeCell ref="C6:G6"/>
    <mergeCell ref="C7:G7"/>
    <mergeCell ref="C8:G8"/>
    <mergeCell ref="C9:G9"/>
    <mergeCell ref="C10:G10"/>
    <mergeCell ref="A13:G13"/>
    <mergeCell ref="A23:G23"/>
    <mergeCell ref="D34:G34"/>
    <mergeCell ref="A37:G37"/>
    <mergeCell ref="C25:G25"/>
    <mergeCell ref="C26:G26"/>
    <mergeCell ref="C27:G27"/>
    <mergeCell ref="A30:G30"/>
    <mergeCell ref="D32:G32"/>
    <mergeCell ref="D33:G33"/>
  </mergeCells>
  <conditionalFormatting sqref="A32:G34">
    <cfRule type="expression" dxfId="1" priority="1">
      <formula>$A32=$B$5</formula>
    </cfRule>
  </conditionalFormatting>
  <conditionalFormatting sqref="A39:G56">
    <cfRule type="expression" dxfId="0" priority="2">
      <formula>$A39=$B$5</formula>
    </cfRule>
  </conditionalFormatting>
  <dataValidations count="2">
    <dataValidation type="decimal" allowBlank="1" showInputMessage="1" showErrorMessage="1" errorTitle="Invalid weight" error="Enter a value between 0% and 100%." sqref="B9:B10" xr:uid="{30687FA6-C1E3-4392-8B87-3B5969A2093E}">
      <formula1>0</formula1>
      <formula2>1</formula2>
    </dataValidation>
    <dataValidation type="list" allowBlank="1" showInputMessage="1" showErrorMessage="1" errorTitle="Invalid scenario" error="Select Base, Upside, or Downside from the dropdown." promptTitle="Scenario selection" prompt="Changing this cell updates operating drivers, WACC, terminal growth, projections, and DCF outputs." sqref="B5" xr:uid="{B54F2472-C04D-43FA-8D2B-0C0488282603}">
      <formula1>"Base,Upside,Downside"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I78"/>
  <sheetViews>
    <sheetView showGridLines="0" topLeftCell="A37" zoomScaleNormal="100" workbookViewId="0">
      <selection activeCell="C34" sqref="C34"/>
    </sheetView>
  </sheetViews>
  <sheetFormatPr defaultColWidth="8.7265625" defaultRowHeight="14.5" x14ac:dyDescent="0.35"/>
  <cols>
    <col min="1" max="1" width="30" customWidth="1"/>
    <col min="2" max="4" width="17.26953125" customWidth="1"/>
    <col min="5" max="5" width="40" customWidth="1"/>
    <col min="6" max="6" width="41.81640625" customWidth="1"/>
    <col min="7" max="7" width="45.54296875" customWidth="1"/>
    <col min="8" max="8" width="41.6328125" customWidth="1"/>
    <col min="9" max="9" width="54.26953125" customWidth="1"/>
    <col min="10" max="14" width="14" customWidth="1"/>
  </cols>
  <sheetData>
    <row r="1" spans="1:9" ht="30" customHeight="1" x14ac:dyDescent="0.55000000000000004">
      <c r="A1" s="293" t="s">
        <v>165</v>
      </c>
      <c r="B1" s="293"/>
      <c r="C1" s="293"/>
      <c r="D1" s="293"/>
      <c r="E1" s="293"/>
      <c r="F1" s="293"/>
      <c r="G1" s="293"/>
      <c r="H1" s="293"/>
      <c r="I1" s="293"/>
    </row>
    <row r="2" spans="1:9" ht="22" customHeight="1" x14ac:dyDescent="0.35">
      <c r="A2" s="294" t="s">
        <v>166</v>
      </c>
      <c r="B2" s="294"/>
      <c r="C2" s="294"/>
      <c r="D2" s="294"/>
      <c r="E2" s="294"/>
      <c r="F2" s="294"/>
      <c r="G2" s="294"/>
      <c r="H2" s="294"/>
      <c r="I2" s="294"/>
    </row>
    <row r="3" spans="1:9" ht="19.5" customHeight="1" x14ac:dyDescent="0.35">
      <c r="A3" s="1"/>
      <c r="B3" s="1"/>
      <c r="C3" s="1"/>
      <c r="D3" s="1"/>
      <c r="E3" s="1"/>
      <c r="F3" s="1"/>
      <c r="G3" s="1"/>
      <c r="H3" s="1"/>
      <c r="I3" s="1"/>
    </row>
    <row r="4" spans="1:9" ht="22" customHeight="1" x14ac:dyDescent="0.35">
      <c r="A4" s="289" t="s">
        <v>167</v>
      </c>
      <c r="B4" s="289"/>
      <c r="C4" s="289"/>
      <c r="D4" s="289"/>
      <c r="E4" s="289"/>
      <c r="F4" s="289"/>
      <c r="G4" s="289"/>
      <c r="H4" s="289"/>
      <c r="I4" s="289"/>
    </row>
    <row r="5" spans="1:9" ht="28" customHeight="1" x14ac:dyDescent="0.35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168</v>
      </c>
      <c r="G5" s="1" t="s">
        <v>32</v>
      </c>
      <c r="H5" s="1" t="s">
        <v>33</v>
      </c>
      <c r="I5" s="1" t="s">
        <v>169</v>
      </c>
    </row>
    <row r="6" spans="1:9" ht="72.5" x14ac:dyDescent="0.35">
      <c r="A6" s="1" t="s">
        <v>34</v>
      </c>
      <c r="B6" s="6">
        <v>2019</v>
      </c>
      <c r="C6" s="6">
        <v>2001</v>
      </c>
      <c r="D6" s="6">
        <v>2627</v>
      </c>
      <c r="E6" s="1" t="s">
        <v>35</v>
      </c>
      <c r="F6" s="2" t="s">
        <v>219</v>
      </c>
      <c r="G6" s="23" t="s">
        <v>37</v>
      </c>
      <c r="H6" s="2" t="s">
        <v>220</v>
      </c>
      <c r="I6" s="2" t="s">
        <v>226</v>
      </c>
    </row>
    <row r="7" spans="1:9" ht="58" x14ac:dyDescent="0.35">
      <c r="A7" s="1" t="s">
        <v>38</v>
      </c>
      <c r="B7" s="6">
        <v>1010</v>
      </c>
      <c r="C7" s="6">
        <v>1028</v>
      </c>
      <c r="D7" s="6">
        <v>1196</v>
      </c>
      <c r="E7" s="1" t="s">
        <v>35</v>
      </c>
      <c r="F7" s="2" t="s">
        <v>219</v>
      </c>
      <c r="G7" s="23" t="s">
        <v>37</v>
      </c>
      <c r="H7" s="2" t="s">
        <v>221</v>
      </c>
      <c r="I7" s="2" t="s">
        <v>226</v>
      </c>
    </row>
    <row r="8" spans="1:9" ht="29" x14ac:dyDescent="0.35">
      <c r="A8" s="1" t="s">
        <v>39</v>
      </c>
      <c r="B8" s="22">
        <f>B7/B6</f>
        <v>0.50024764735017335</v>
      </c>
      <c r="C8" s="22">
        <f t="shared" ref="C8:D8" si="0">C7/C6</f>
        <v>0.51374312843578207</v>
      </c>
      <c r="D8" s="22">
        <f t="shared" si="0"/>
        <v>0.45527217358203276</v>
      </c>
      <c r="E8" s="1" t="s">
        <v>40</v>
      </c>
      <c r="F8" s="2" t="s">
        <v>171</v>
      </c>
      <c r="G8" s="23" t="s">
        <v>41</v>
      </c>
      <c r="H8" s="2" t="s">
        <v>172</v>
      </c>
      <c r="I8" s="2" t="s">
        <v>173</v>
      </c>
    </row>
    <row r="9" spans="1:9" ht="43.5" x14ac:dyDescent="0.35">
      <c r="A9" s="1" t="s">
        <v>42</v>
      </c>
      <c r="B9" s="5"/>
      <c r="C9" s="7">
        <v>1.1000000000000001</v>
      </c>
      <c r="D9" s="7">
        <v>3.9</v>
      </c>
      <c r="E9" s="1" t="s">
        <v>43</v>
      </c>
      <c r="F9" s="2" t="s">
        <v>36</v>
      </c>
      <c r="G9" s="23" t="s">
        <v>37</v>
      </c>
      <c r="H9" s="2" t="s">
        <v>174</v>
      </c>
      <c r="I9" s="2" t="s">
        <v>226</v>
      </c>
    </row>
    <row r="10" spans="1:9" ht="29" x14ac:dyDescent="0.35">
      <c r="A10" s="1" t="s">
        <v>44</v>
      </c>
      <c r="B10" s="4"/>
      <c r="C10" s="6">
        <v>253</v>
      </c>
      <c r="D10" s="6">
        <v>229</v>
      </c>
      <c r="E10" s="1" t="s">
        <v>35</v>
      </c>
      <c r="F10" s="2" t="s">
        <v>36</v>
      </c>
      <c r="G10" s="23" t="s">
        <v>37</v>
      </c>
      <c r="H10" s="2" t="s">
        <v>175</v>
      </c>
      <c r="I10" s="2" t="s">
        <v>226</v>
      </c>
    </row>
    <row r="11" spans="1:9" ht="29" x14ac:dyDescent="0.35">
      <c r="A11" s="1" t="s">
        <v>45</v>
      </c>
      <c r="B11" s="4"/>
      <c r="C11" s="6">
        <v>560</v>
      </c>
      <c r="D11" s="6">
        <v>559</v>
      </c>
      <c r="E11" s="1" t="s">
        <v>35</v>
      </c>
      <c r="F11" s="2" t="s">
        <v>46</v>
      </c>
      <c r="G11" s="23" t="s">
        <v>37</v>
      </c>
      <c r="H11" s="2" t="s">
        <v>176</v>
      </c>
      <c r="I11" s="2" t="s">
        <v>226</v>
      </c>
    </row>
    <row r="12" spans="1:9" ht="30" customHeight="1" x14ac:dyDescent="0.35">
      <c r="A12" s="299" t="s">
        <v>788</v>
      </c>
      <c r="B12" s="299"/>
      <c r="C12" s="299"/>
      <c r="D12" s="299"/>
      <c r="E12" s="299"/>
      <c r="F12" s="299"/>
      <c r="G12" s="299"/>
      <c r="H12" s="299"/>
      <c r="I12" s="299"/>
    </row>
    <row r="13" spans="1:9" ht="19.5" customHeight="1" x14ac:dyDescent="0.35">
      <c r="A13" s="1"/>
      <c r="B13" s="1"/>
      <c r="C13" s="1"/>
      <c r="D13" s="1"/>
      <c r="E13" s="1"/>
      <c r="F13" s="1"/>
      <c r="G13" s="1"/>
      <c r="H13" s="1"/>
      <c r="I13" s="1"/>
    </row>
    <row r="14" spans="1:9" ht="22" customHeight="1" x14ac:dyDescent="0.35">
      <c r="A14" s="289" t="s">
        <v>177</v>
      </c>
      <c r="B14" s="289"/>
      <c r="C14" s="289"/>
      <c r="D14" s="289"/>
      <c r="E14" s="289"/>
      <c r="F14" s="289"/>
      <c r="G14" s="289"/>
      <c r="H14" s="289"/>
      <c r="I14" s="289"/>
    </row>
    <row r="15" spans="1:9" ht="28" customHeight="1" x14ac:dyDescent="0.35">
      <c r="A15" s="132" t="s">
        <v>178</v>
      </c>
      <c r="B15" s="132" t="s">
        <v>179</v>
      </c>
      <c r="C15" s="132" t="s">
        <v>30</v>
      </c>
      <c r="D15" s="132" t="s">
        <v>180</v>
      </c>
      <c r="E15" s="132" t="s">
        <v>168</v>
      </c>
      <c r="F15" s="132" t="s">
        <v>32</v>
      </c>
      <c r="G15" s="132" t="s">
        <v>181</v>
      </c>
      <c r="H15" s="132" t="s">
        <v>169</v>
      </c>
      <c r="I15" s="132" t="s">
        <v>182</v>
      </c>
    </row>
    <row r="16" spans="1:9" ht="43.5" x14ac:dyDescent="0.35">
      <c r="A16" s="24" t="s">
        <v>183</v>
      </c>
      <c r="B16" s="24" t="s">
        <v>184</v>
      </c>
      <c r="C16" s="24" t="s">
        <v>185</v>
      </c>
      <c r="D16" s="25">
        <v>45855</v>
      </c>
      <c r="E16" s="26" t="s">
        <v>256</v>
      </c>
      <c r="F16" s="24" t="s">
        <v>103</v>
      </c>
      <c r="G16" s="24" t="s">
        <v>186</v>
      </c>
      <c r="H16" s="24" t="s">
        <v>170</v>
      </c>
      <c r="I16" s="24" t="s">
        <v>187</v>
      </c>
    </row>
    <row r="17" spans="1:9" ht="59" customHeight="1" x14ac:dyDescent="0.35">
      <c r="A17" s="138" t="s">
        <v>188</v>
      </c>
      <c r="B17" s="138" t="s">
        <v>222</v>
      </c>
      <c r="C17" s="138" t="s">
        <v>189</v>
      </c>
      <c r="D17" s="138" t="s">
        <v>190</v>
      </c>
      <c r="E17" s="139" t="s">
        <v>98</v>
      </c>
      <c r="F17" s="138" t="s">
        <v>37</v>
      </c>
      <c r="G17" s="138" t="s">
        <v>223</v>
      </c>
      <c r="H17" s="138" t="s">
        <v>170</v>
      </c>
      <c r="I17" s="138" t="s">
        <v>224</v>
      </c>
    </row>
    <row r="18" spans="1:9" ht="43.5" x14ac:dyDescent="0.35">
      <c r="A18" s="24" t="s">
        <v>191</v>
      </c>
      <c r="B18" s="24" t="s">
        <v>192</v>
      </c>
      <c r="C18" s="24" t="s">
        <v>193</v>
      </c>
      <c r="D18" s="24" t="s">
        <v>194</v>
      </c>
      <c r="E18" s="26" t="s">
        <v>104</v>
      </c>
      <c r="F18" s="24" t="s">
        <v>105</v>
      </c>
      <c r="G18" s="24" t="s">
        <v>195</v>
      </c>
      <c r="H18" s="24" t="s">
        <v>170</v>
      </c>
      <c r="I18" s="24" t="s">
        <v>196</v>
      </c>
    </row>
    <row r="19" spans="1:9" ht="58" x14ac:dyDescent="0.35">
      <c r="A19" s="138" t="s">
        <v>197</v>
      </c>
      <c r="B19" s="140">
        <v>0.2387</v>
      </c>
      <c r="C19" s="138" t="s">
        <v>40</v>
      </c>
      <c r="D19" s="138" t="s">
        <v>198</v>
      </c>
      <c r="E19" s="139" t="s">
        <v>261</v>
      </c>
      <c r="F19" s="138" t="s">
        <v>106</v>
      </c>
      <c r="G19" s="138" t="s">
        <v>199</v>
      </c>
      <c r="H19" s="138" t="s">
        <v>170</v>
      </c>
      <c r="I19" s="138" t="s">
        <v>225</v>
      </c>
    </row>
    <row r="20" spans="1:9" ht="19.5" customHeight="1" x14ac:dyDescent="0.35">
      <c r="A20" s="1"/>
      <c r="B20" s="1"/>
      <c r="C20" s="1"/>
      <c r="D20" s="1"/>
      <c r="E20" s="1"/>
      <c r="F20" s="1"/>
      <c r="G20" s="1"/>
      <c r="H20" s="1"/>
      <c r="I20" s="1"/>
    </row>
    <row r="21" spans="1:9" ht="19.5" customHeight="1" x14ac:dyDescent="0.35">
      <c r="A21" s="1"/>
      <c r="B21" s="1"/>
      <c r="C21" s="1"/>
      <c r="D21" s="1"/>
      <c r="E21" s="1"/>
      <c r="F21" s="1"/>
      <c r="G21" s="1"/>
      <c r="H21" s="1"/>
      <c r="I21" s="1"/>
    </row>
    <row r="22" spans="1:9" ht="19.5" customHeight="1" x14ac:dyDescent="0.35">
      <c r="A22" s="1"/>
      <c r="B22" s="1"/>
      <c r="C22" s="1"/>
      <c r="D22" s="1"/>
      <c r="E22" s="1"/>
      <c r="F22" s="1"/>
      <c r="G22" s="1"/>
      <c r="H22" s="1"/>
      <c r="I22" s="1"/>
    </row>
    <row r="23" spans="1:9" ht="22" customHeight="1" x14ac:dyDescent="0.35">
      <c r="A23" s="289" t="s">
        <v>200</v>
      </c>
      <c r="B23" s="289"/>
      <c r="C23" s="289"/>
      <c r="D23" s="289"/>
      <c r="E23" s="289"/>
      <c r="F23" s="289"/>
      <c r="G23" s="289"/>
      <c r="H23" s="289"/>
      <c r="I23" s="289"/>
    </row>
    <row r="24" spans="1:9" ht="29" x14ac:dyDescent="0.35">
      <c r="A24" s="132" t="s">
        <v>201</v>
      </c>
      <c r="B24" s="132" t="s">
        <v>202</v>
      </c>
      <c r="C24" s="141" t="s">
        <v>203</v>
      </c>
      <c r="D24" s="296" t="s">
        <v>204</v>
      </c>
      <c r="E24" s="296"/>
      <c r="F24" s="1"/>
      <c r="G24" s="1"/>
      <c r="H24" s="1"/>
      <c r="I24" s="1"/>
    </row>
    <row r="25" spans="1:9" ht="29" x14ac:dyDescent="0.35">
      <c r="A25" s="143" t="s">
        <v>205</v>
      </c>
      <c r="B25" s="144" t="str">
        <f>IF(COUNT(B6:D6)=3,"PASS","REVIEW")</f>
        <v>PASS</v>
      </c>
      <c r="C25" s="137" t="s">
        <v>210</v>
      </c>
      <c r="D25" s="295" t="s">
        <v>214</v>
      </c>
      <c r="E25" s="295"/>
      <c r="F25" s="1"/>
      <c r="G25" s="1"/>
      <c r="H25" s="1"/>
      <c r="I25" s="1"/>
    </row>
    <row r="26" spans="1:9" ht="29" x14ac:dyDescent="0.35">
      <c r="A26" s="21" t="s">
        <v>206</v>
      </c>
      <c r="B26" s="27" t="str">
        <f>IF(COUNT(B7:D7)=3,"PASS","REVIEW")</f>
        <v>PASS</v>
      </c>
      <c r="C26" s="28" t="s">
        <v>210</v>
      </c>
      <c r="D26" s="297" t="s">
        <v>215</v>
      </c>
      <c r="E26" s="297"/>
      <c r="F26" s="1"/>
      <c r="G26" s="1"/>
      <c r="H26" s="1"/>
      <c r="I26" s="1"/>
    </row>
    <row r="27" spans="1:9" ht="43.5" x14ac:dyDescent="0.35">
      <c r="A27" s="143" t="s">
        <v>207</v>
      </c>
      <c r="B27" s="144" t="str">
        <f>IF(MAX(ABS(B8-B7/B6),ABS(C8-C7/C6),ABS(D8-D7/D6))&lt;0.0001,"PASS","REVIEW")</f>
        <v>PASS</v>
      </c>
      <c r="C27" s="137" t="s">
        <v>211</v>
      </c>
      <c r="D27" s="295" t="s">
        <v>216</v>
      </c>
      <c r="E27" s="295"/>
      <c r="F27" s="1"/>
      <c r="G27" s="1"/>
      <c r="H27" s="1"/>
      <c r="I27" s="1"/>
    </row>
    <row r="28" spans="1:9" ht="29" x14ac:dyDescent="0.35">
      <c r="A28" s="21" t="s">
        <v>208</v>
      </c>
      <c r="B28" s="27" t="str">
        <f>IF(D9&gt;0,"PASS","REVIEW")</f>
        <v>PASS</v>
      </c>
      <c r="C28" s="28" t="s">
        <v>212</v>
      </c>
      <c r="D28" s="297" t="s">
        <v>217</v>
      </c>
      <c r="E28" s="297"/>
      <c r="F28" s="1"/>
      <c r="G28" s="1"/>
      <c r="H28" s="1"/>
      <c r="I28" s="1"/>
    </row>
    <row r="29" spans="1:9" ht="43.5" x14ac:dyDescent="0.35">
      <c r="A29" s="146" t="s">
        <v>209</v>
      </c>
      <c r="B29" s="147" t="str">
        <f>IF(COUNTIF(G6:G11,"https://*")&gt;=5,"PASS","REVIEW")</f>
        <v>PASS</v>
      </c>
      <c r="C29" s="148" t="s">
        <v>213</v>
      </c>
      <c r="D29" s="295" t="s">
        <v>218</v>
      </c>
      <c r="E29" s="295"/>
      <c r="F29" s="1"/>
      <c r="G29" s="1"/>
      <c r="H29" s="1"/>
      <c r="I29" s="1"/>
    </row>
    <row r="30" spans="1:9" ht="29" x14ac:dyDescent="0.35">
      <c r="A30" s="143" t="s">
        <v>267</v>
      </c>
      <c r="B30" s="144" t="str">
        <f>IF(COUNTIF(C34:C39,"Verified")=6,"PASS","REVIEW")</f>
        <v>PASS</v>
      </c>
      <c r="C30" s="137" t="s">
        <v>268</v>
      </c>
      <c r="D30" s="298" t="s">
        <v>269</v>
      </c>
      <c r="E30" s="298"/>
      <c r="F30" s="1"/>
      <c r="G30" s="1"/>
      <c r="H30" s="1"/>
      <c r="I30" s="1"/>
    </row>
    <row r="31" spans="1:9" ht="19.5" customHeight="1" x14ac:dyDescent="0.35">
      <c r="A31" s="1"/>
      <c r="B31" s="1"/>
      <c r="C31" s="1"/>
      <c r="D31" s="1"/>
      <c r="E31" s="1"/>
      <c r="F31" s="1"/>
      <c r="G31" s="1"/>
      <c r="H31" s="1"/>
      <c r="I31" s="1"/>
    </row>
    <row r="32" spans="1:9" ht="22" customHeight="1" x14ac:dyDescent="0.35">
      <c r="A32" s="289" t="s">
        <v>227</v>
      </c>
      <c r="B32" s="289"/>
      <c r="C32" s="289"/>
      <c r="D32" s="289"/>
      <c r="E32" s="289"/>
      <c r="F32" s="289"/>
      <c r="G32" s="289"/>
      <c r="H32" s="289"/>
      <c r="I32" s="289"/>
    </row>
    <row r="33" spans="1:9" ht="30" customHeight="1" x14ac:dyDescent="0.35">
      <c r="A33" s="142" t="s">
        <v>31</v>
      </c>
      <c r="B33" s="142" t="s">
        <v>228</v>
      </c>
      <c r="C33" s="142" t="s">
        <v>229</v>
      </c>
      <c r="D33" s="142" t="s">
        <v>230</v>
      </c>
      <c r="E33" s="142" t="s">
        <v>97</v>
      </c>
      <c r="F33" s="142" t="s">
        <v>231</v>
      </c>
      <c r="G33" s="142" t="s">
        <v>232</v>
      </c>
      <c r="H33" s="142" t="s">
        <v>233</v>
      </c>
      <c r="I33" s="142" t="s">
        <v>234</v>
      </c>
    </row>
    <row r="34" spans="1:9" ht="58" x14ac:dyDescent="0.35">
      <c r="A34" s="150" t="s">
        <v>98</v>
      </c>
      <c r="B34" s="150" t="s">
        <v>235</v>
      </c>
      <c r="C34" s="151" t="s">
        <v>236</v>
      </c>
      <c r="D34" s="152" t="s">
        <v>237</v>
      </c>
      <c r="E34" s="380" t="s">
        <v>854</v>
      </c>
      <c r="F34" s="150" t="s">
        <v>238</v>
      </c>
      <c r="G34" s="150" t="s">
        <v>239</v>
      </c>
      <c r="H34" s="153" t="s">
        <v>240</v>
      </c>
      <c r="I34" s="153" t="s">
        <v>241</v>
      </c>
    </row>
    <row r="35" spans="1:9" ht="43.5" x14ac:dyDescent="0.35">
      <c r="A35" s="115" t="s">
        <v>99</v>
      </c>
      <c r="B35" s="115" t="s">
        <v>235</v>
      </c>
      <c r="C35" s="116" t="s">
        <v>236</v>
      </c>
      <c r="D35" s="117" t="s">
        <v>237</v>
      </c>
      <c r="E35" s="379" t="s">
        <v>853</v>
      </c>
      <c r="F35" s="115" t="s">
        <v>242</v>
      </c>
      <c r="G35" s="115" t="s">
        <v>243</v>
      </c>
      <c r="H35" s="118" t="s">
        <v>244</v>
      </c>
      <c r="I35" s="118" t="s">
        <v>245</v>
      </c>
    </row>
    <row r="36" spans="1:9" ht="43.5" x14ac:dyDescent="0.35">
      <c r="A36" s="154" t="s">
        <v>246</v>
      </c>
      <c r="B36" s="154" t="s">
        <v>235</v>
      </c>
      <c r="C36" s="155" t="s">
        <v>236</v>
      </c>
      <c r="D36" s="156" t="s">
        <v>237</v>
      </c>
      <c r="E36" s="378" t="s">
        <v>852</v>
      </c>
      <c r="F36" s="154" t="s">
        <v>247</v>
      </c>
      <c r="G36" s="154" t="s">
        <v>248</v>
      </c>
      <c r="H36" s="157" t="s">
        <v>249</v>
      </c>
      <c r="I36" s="157" t="s">
        <v>250</v>
      </c>
    </row>
    <row r="37" spans="1:9" ht="29" x14ac:dyDescent="0.35">
      <c r="A37" s="115" t="s">
        <v>251</v>
      </c>
      <c r="B37" s="115" t="s">
        <v>235</v>
      </c>
      <c r="C37" s="116" t="s">
        <v>236</v>
      </c>
      <c r="D37" s="117" t="s">
        <v>237</v>
      </c>
      <c r="E37" s="379" t="s">
        <v>851</v>
      </c>
      <c r="F37" s="115" t="s">
        <v>252</v>
      </c>
      <c r="G37" s="115" t="s">
        <v>253</v>
      </c>
      <c r="H37" s="118" t="s">
        <v>254</v>
      </c>
      <c r="I37" s="118" t="s">
        <v>255</v>
      </c>
    </row>
    <row r="38" spans="1:9" ht="43.5" x14ac:dyDescent="0.35">
      <c r="A38" s="154" t="s">
        <v>256</v>
      </c>
      <c r="B38" s="154" t="s">
        <v>235</v>
      </c>
      <c r="C38" s="155" t="s">
        <v>236</v>
      </c>
      <c r="D38" s="156" t="s">
        <v>237</v>
      </c>
      <c r="E38" s="378" t="s">
        <v>850</v>
      </c>
      <c r="F38" s="154" t="s">
        <v>257</v>
      </c>
      <c r="G38" s="154" t="s">
        <v>258</v>
      </c>
      <c r="H38" s="157" t="s">
        <v>259</v>
      </c>
      <c r="I38" s="157" t="s">
        <v>260</v>
      </c>
    </row>
    <row r="39" spans="1:9" ht="43.5" x14ac:dyDescent="0.35">
      <c r="A39" s="119" t="s">
        <v>261</v>
      </c>
      <c r="B39" s="119" t="s">
        <v>262</v>
      </c>
      <c r="C39" s="120" t="s">
        <v>236</v>
      </c>
      <c r="D39" s="121" t="s">
        <v>237</v>
      </c>
      <c r="E39" s="377" t="s">
        <v>849</v>
      </c>
      <c r="F39" s="119" t="s">
        <v>263</v>
      </c>
      <c r="G39" s="119" t="s">
        <v>264</v>
      </c>
      <c r="H39" s="122" t="s">
        <v>265</v>
      </c>
      <c r="I39" s="122" t="s">
        <v>266</v>
      </c>
    </row>
    <row r="40" spans="1:9" ht="19.5" customHeight="1" x14ac:dyDescent="0.35"/>
    <row r="41" spans="1:9" ht="19.5" customHeight="1" x14ac:dyDescent="0.35"/>
    <row r="42" spans="1:9" ht="19.5" customHeight="1" x14ac:dyDescent="0.35"/>
    <row r="43" spans="1:9" ht="19.5" customHeight="1" x14ac:dyDescent="0.35"/>
    <row r="44" spans="1:9" ht="19.5" customHeight="1" x14ac:dyDescent="0.35"/>
    <row r="45" spans="1:9" ht="19.5" customHeight="1" x14ac:dyDescent="0.35"/>
    <row r="46" spans="1:9" ht="19.5" customHeight="1" x14ac:dyDescent="0.35"/>
    <row r="47" spans="1:9" ht="19.5" customHeight="1" x14ac:dyDescent="0.35"/>
    <row r="48" spans="1:9" ht="19.5" customHeight="1" x14ac:dyDescent="0.35"/>
    <row r="49" ht="19.5" customHeight="1" x14ac:dyDescent="0.35"/>
    <row r="50" ht="19.5" customHeight="1" x14ac:dyDescent="0.35"/>
    <row r="51" ht="19.5" customHeight="1" x14ac:dyDescent="0.35"/>
    <row r="52" ht="19.5" customHeight="1" x14ac:dyDescent="0.35"/>
    <row r="53" ht="19.5" customHeight="1" x14ac:dyDescent="0.35"/>
    <row r="54" ht="19.5" customHeight="1" x14ac:dyDescent="0.35"/>
    <row r="55" ht="19.5" customHeight="1" x14ac:dyDescent="0.35"/>
    <row r="56" ht="19.5" customHeight="1" x14ac:dyDescent="0.35"/>
    <row r="57" ht="19.5" customHeight="1" x14ac:dyDescent="0.35"/>
    <row r="58" ht="19.5" customHeight="1" x14ac:dyDescent="0.35"/>
    <row r="59" ht="19.5" customHeight="1" x14ac:dyDescent="0.35"/>
    <row r="60" ht="19.5" customHeight="1" x14ac:dyDescent="0.35"/>
    <row r="61" ht="19.5" customHeight="1" x14ac:dyDescent="0.35"/>
    <row r="62" ht="19.5" customHeight="1" x14ac:dyDescent="0.35"/>
    <row r="63" ht="19.5" customHeight="1" x14ac:dyDescent="0.35"/>
    <row r="64" ht="19.5" customHeight="1" x14ac:dyDescent="0.35"/>
    <row r="65" ht="19.5" customHeight="1" x14ac:dyDescent="0.35"/>
    <row r="66" ht="19.5" customHeight="1" x14ac:dyDescent="0.35"/>
    <row r="67" ht="19.5" customHeight="1" x14ac:dyDescent="0.35"/>
    <row r="68" ht="19.5" customHeight="1" x14ac:dyDescent="0.35"/>
    <row r="69" ht="19.5" customHeight="1" x14ac:dyDescent="0.35"/>
    <row r="70" ht="19.5" customHeight="1" x14ac:dyDescent="0.35"/>
    <row r="71" ht="19.5" customHeight="1" x14ac:dyDescent="0.35"/>
    <row r="72" ht="19.5" customHeight="1" x14ac:dyDescent="0.35"/>
    <row r="73" ht="19.5" customHeight="1" x14ac:dyDescent="0.35"/>
    <row r="74" ht="19.5" customHeight="1" x14ac:dyDescent="0.35"/>
    <row r="75" ht="19.5" customHeight="1" x14ac:dyDescent="0.35"/>
    <row r="76" ht="19.5" customHeight="1" x14ac:dyDescent="0.35"/>
    <row r="77" ht="19.5" customHeight="1" x14ac:dyDescent="0.35"/>
    <row r="78" ht="19.5" customHeight="1" x14ac:dyDescent="0.35"/>
  </sheetData>
  <mergeCells count="14">
    <mergeCell ref="A23:I23"/>
    <mergeCell ref="A32:I32"/>
    <mergeCell ref="A1:I1"/>
    <mergeCell ref="A2:I2"/>
    <mergeCell ref="A4:I4"/>
    <mergeCell ref="A14:I14"/>
    <mergeCell ref="D25:E25"/>
    <mergeCell ref="D24:E24"/>
    <mergeCell ref="D26:E26"/>
    <mergeCell ref="D27:E27"/>
    <mergeCell ref="D28:E28"/>
    <mergeCell ref="D29:E29"/>
    <mergeCell ref="D30:E30"/>
    <mergeCell ref="A12:I12"/>
  </mergeCells>
  <hyperlinks>
    <hyperlink ref="E39" r:id="rId1" xr:uid="{92690317-C05A-4D23-B4E5-7BE32B13CB94}"/>
    <hyperlink ref="E38" r:id="rId2" xr:uid="{4012E4B8-8911-42E3-8EEA-0B8BCFFD0122}"/>
    <hyperlink ref="E37" r:id="rId3" xr:uid="{FB7F3099-017C-4E96-B9F7-3F08BDB2EBCB}"/>
    <hyperlink ref="E36" r:id="rId4" xr:uid="{0303FC6C-AE47-430E-8903-E85439DF77B0}"/>
    <hyperlink ref="E35" r:id="rId5" xr:uid="{080EF547-5996-427B-BC9E-8000592814E1}"/>
    <hyperlink ref="E34" r:id="rId6" xr:uid="{351F5D31-39E4-4FE8-9936-2CA7917715B0}"/>
  </hyperlinks>
  <pageMargins left="0.75" right="0.75" top="1" bottom="1" header="0.511811023622047" footer="0.511811023622047"/>
  <pageSetup paperSize="9" orientation="portrait" horizontalDpi="300" verticalDpi="300"/>
  <tableParts count="1"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A434C-98B1-4F6B-AEDD-5DBB90544BCF}">
  <sheetPr>
    <tabColor rgb="FF5B9BD5"/>
  </sheetPr>
  <dimension ref="A1:G78"/>
  <sheetViews>
    <sheetView showGridLines="0" workbookViewId="0">
      <selection activeCell="A32" sqref="A32"/>
    </sheetView>
  </sheetViews>
  <sheetFormatPr defaultColWidth="8.7265625" defaultRowHeight="14.5" x14ac:dyDescent="0.35"/>
  <cols>
    <col min="1" max="1" width="30" customWidth="1"/>
    <col min="2" max="4" width="14.1796875" customWidth="1"/>
    <col min="5" max="5" width="18.1796875" customWidth="1"/>
    <col min="6" max="6" width="19.08984375" customWidth="1"/>
    <col min="7" max="7" width="36.36328125" customWidth="1"/>
    <col min="8" max="14" width="14" customWidth="1"/>
  </cols>
  <sheetData>
    <row r="1" spans="1:7" ht="30" customHeight="1" x14ac:dyDescent="0.55000000000000004">
      <c r="A1" s="293" t="s">
        <v>270</v>
      </c>
      <c r="B1" s="293"/>
      <c r="C1" s="293"/>
      <c r="D1" s="293"/>
      <c r="E1" s="293"/>
      <c r="F1" s="293"/>
      <c r="G1" s="293"/>
    </row>
    <row r="2" spans="1:7" ht="22" customHeight="1" x14ac:dyDescent="0.35">
      <c r="A2" s="294" t="s">
        <v>271</v>
      </c>
      <c r="B2" s="294"/>
      <c r="C2" s="294"/>
      <c r="D2" s="294"/>
      <c r="E2" s="294"/>
      <c r="F2" s="294"/>
      <c r="G2" s="294"/>
    </row>
    <row r="3" spans="1:7" ht="19.5" customHeight="1" x14ac:dyDescent="0.35">
      <c r="A3" s="1"/>
      <c r="B3" s="1"/>
      <c r="C3" s="1"/>
      <c r="D3" s="1"/>
      <c r="E3" s="1"/>
      <c r="F3" s="1"/>
      <c r="G3" s="1"/>
    </row>
    <row r="4" spans="1:7" ht="22" customHeight="1" x14ac:dyDescent="0.35">
      <c r="A4" s="289" t="s">
        <v>272</v>
      </c>
      <c r="B4" s="289"/>
      <c r="C4" s="289"/>
      <c r="D4" s="289"/>
      <c r="E4" s="289"/>
      <c r="F4" s="289"/>
      <c r="G4" s="289"/>
    </row>
    <row r="5" spans="1:7" ht="28" customHeight="1" x14ac:dyDescent="0.35">
      <c r="A5" s="142" t="s">
        <v>26</v>
      </c>
      <c r="B5" s="142" t="s">
        <v>27</v>
      </c>
      <c r="C5" s="142" t="s">
        <v>28</v>
      </c>
      <c r="D5" s="142" t="s">
        <v>29</v>
      </c>
      <c r="E5" s="142" t="s">
        <v>273</v>
      </c>
      <c r="F5" s="142" t="s">
        <v>169</v>
      </c>
      <c r="G5" s="142" t="s">
        <v>274</v>
      </c>
    </row>
    <row r="6" spans="1:7" ht="58" x14ac:dyDescent="0.35">
      <c r="A6" s="158" t="s">
        <v>34</v>
      </c>
      <c r="B6" s="159">
        <f>Data_Raw!B6</f>
        <v>2019</v>
      </c>
      <c r="C6" s="159">
        <f>Data_Raw!C6</f>
        <v>2001</v>
      </c>
      <c r="D6" s="159">
        <f>Data_Raw!D6</f>
        <v>2627</v>
      </c>
      <c r="E6" s="41">
        <f>(D6/B6)^(1/2)-1</f>
        <v>0.14067487822376346</v>
      </c>
      <c r="F6" s="160" t="str">
        <f>IF(Data_Raw!I6="Derived","Calculated","Source-linked")</f>
        <v>Source-linked</v>
      </c>
      <c r="G6" s="161" t="s">
        <v>275</v>
      </c>
    </row>
    <row r="7" spans="1:7" ht="48" customHeight="1" x14ac:dyDescent="0.35">
      <c r="A7" s="34" t="s">
        <v>38</v>
      </c>
      <c r="B7" s="35">
        <f>Data_Raw!B7</f>
        <v>1010</v>
      </c>
      <c r="C7" s="35">
        <f>Data_Raw!C7</f>
        <v>1028</v>
      </c>
      <c r="D7" s="35">
        <f>Data_Raw!D7</f>
        <v>1196</v>
      </c>
      <c r="E7" s="42">
        <f>(D7/B7)^(1/2)-1</f>
        <v>8.8190431791046464E-2</v>
      </c>
      <c r="F7" s="37" t="str">
        <f>IF(Data_Raw!I7="Derived","Calculated","Source-linked")</f>
        <v>Source-linked</v>
      </c>
      <c r="G7" s="38" t="s">
        <v>276</v>
      </c>
    </row>
    <row r="8" spans="1:7" ht="58" x14ac:dyDescent="0.35">
      <c r="A8" s="162" t="s">
        <v>39</v>
      </c>
      <c r="B8" s="163">
        <f>Data_Raw!B8</f>
        <v>0.50024764735017335</v>
      </c>
      <c r="C8" s="163">
        <f>Data_Raw!C8</f>
        <v>0.51374312843578207</v>
      </c>
      <c r="D8" s="163">
        <f>Data_Raw!D8</f>
        <v>0.45527217358203276</v>
      </c>
      <c r="E8" s="164">
        <f>(D8-C8)*100</f>
        <v>-5.8470954853749308</v>
      </c>
      <c r="F8" s="165" t="str">
        <f>IF(Data_Raw!I8="Derived","Calculated","Source-linked")</f>
        <v>Calculated</v>
      </c>
      <c r="G8" s="166" t="s">
        <v>277</v>
      </c>
    </row>
    <row r="9" spans="1:7" ht="58" x14ac:dyDescent="0.35">
      <c r="A9" s="34" t="s">
        <v>42</v>
      </c>
      <c r="B9" s="39" t="str">
        <f>IF(Data_Raw!B9="","n.a.",Data_Raw!B9)</f>
        <v>n.a.</v>
      </c>
      <c r="C9" s="39">
        <f>IF(Data_Raw!C9="","n.a.",Data_Raw!C9)</f>
        <v>1.1000000000000001</v>
      </c>
      <c r="D9" s="39">
        <f>IF(Data_Raw!D9="","n.a.",Data_Raw!D9)</f>
        <v>3.9</v>
      </c>
      <c r="E9" s="167">
        <f>D9-C9</f>
        <v>2.8</v>
      </c>
      <c r="F9" s="37" t="str">
        <f>IF(Data_Raw!I9="Derived","Calculated","Source-linked")</f>
        <v>Source-linked</v>
      </c>
      <c r="G9" s="38" t="s">
        <v>278</v>
      </c>
    </row>
    <row r="10" spans="1:7" ht="58" x14ac:dyDescent="0.35">
      <c r="A10" s="162" t="s">
        <v>44</v>
      </c>
      <c r="B10" s="168" t="str">
        <f>IF(Data_Raw!B10="","n.a.",Data_Raw!B10)</f>
        <v>n.a.</v>
      </c>
      <c r="C10" s="168">
        <f>IF(Data_Raw!C10="","n.a.",Data_Raw!C10)</f>
        <v>253</v>
      </c>
      <c r="D10" s="168">
        <f>IF(Data_Raw!D10="","n.a.",Data_Raw!D10)</f>
        <v>229</v>
      </c>
      <c r="E10" s="169">
        <f>D10/C10-1</f>
        <v>-9.4861660079051391E-2</v>
      </c>
      <c r="F10" s="165" t="str">
        <f>IF(Data_Raw!I10="Derived","Calculated","Source-linked")</f>
        <v>Source-linked</v>
      </c>
      <c r="G10" s="166" t="s">
        <v>279</v>
      </c>
    </row>
    <row r="11" spans="1:7" ht="58" x14ac:dyDescent="0.35">
      <c r="A11" s="32" t="s">
        <v>45</v>
      </c>
      <c r="B11" s="40" t="str">
        <f>IF(Data_Raw!B11="","n.a.",Data_Raw!B11)</f>
        <v>n.a.</v>
      </c>
      <c r="C11" s="40">
        <f>IF(Data_Raw!C11="","n.a.",Data_Raw!C11)</f>
        <v>560</v>
      </c>
      <c r="D11" s="40">
        <f>IF(Data_Raw!D11="","n.a.",Data_Raw!D11)</f>
        <v>559</v>
      </c>
      <c r="E11" s="170">
        <f>D11/C11-1</f>
        <v>-1.7857142857142794E-3</v>
      </c>
      <c r="F11" s="33" t="str">
        <f>IF(Data_Raw!I11="Derived","Calculated","Source-linked")</f>
        <v>Source-linked</v>
      </c>
      <c r="G11" s="24" t="s">
        <v>280</v>
      </c>
    </row>
    <row r="12" spans="1:7" ht="19.5" customHeight="1" x14ac:dyDescent="0.35">
      <c r="A12" s="1"/>
      <c r="B12" s="1"/>
      <c r="C12" s="1"/>
      <c r="D12" s="1"/>
      <c r="E12" s="1"/>
      <c r="F12" s="1"/>
      <c r="G12" s="1"/>
    </row>
    <row r="13" spans="1:7" ht="19.5" customHeight="1" x14ac:dyDescent="0.35">
      <c r="A13" s="1"/>
      <c r="B13" s="1"/>
      <c r="C13" s="1"/>
      <c r="D13" s="1"/>
      <c r="E13" s="1"/>
      <c r="F13" s="1"/>
      <c r="G13" s="1"/>
    </row>
    <row r="14" spans="1:7" ht="22" customHeight="1" x14ac:dyDescent="0.35">
      <c r="A14" s="289" t="s">
        <v>281</v>
      </c>
      <c r="B14" s="289"/>
      <c r="C14" s="289"/>
      <c r="D14" s="289"/>
      <c r="E14" s="289"/>
      <c r="F14" s="289"/>
      <c r="G14" s="289"/>
    </row>
    <row r="15" spans="1:7" ht="18.5" x14ac:dyDescent="0.45">
      <c r="A15" s="300" t="s">
        <v>282</v>
      </c>
      <c r="B15" s="300"/>
      <c r="C15" s="301">
        <f>D6/C6-1</f>
        <v>0.31284357821089448</v>
      </c>
      <c r="D15" s="302"/>
      <c r="E15" s="303" t="s">
        <v>286</v>
      </c>
      <c r="F15" s="303"/>
      <c r="G15" s="303"/>
    </row>
    <row r="16" spans="1:7" ht="28.5" customHeight="1" x14ac:dyDescent="0.45">
      <c r="A16" s="304" t="s">
        <v>283</v>
      </c>
      <c r="B16" s="304"/>
      <c r="C16" s="305">
        <f>D7/C7-1</f>
        <v>0.16342412451361876</v>
      </c>
      <c r="D16" s="306"/>
      <c r="E16" s="307" t="s">
        <v>287</v>
      </c>
      <c r="F16" s="307"/>
      <c r="G16" s="307"/>
    </row>
    <row r="17" spans="1:7" ht="18.5" x14ac:dyDescent="0.45">
      <c r="A17" s="304" t="s">
        <v>284</v>
      </c>
      <c r="B17" s="304"/>
      <c r="C17" s="308">
        <f>(D8-C8)*100</f>
        <v>-5.8470954853749308</v>
      </c>
      <c r="D17" s="309"/>
      <c r="E17" s="307" t="s">
        <v>288</v>
      </c>
      <c r="F17" s="307"/>
      <c r="G17" s="307"/>
    </row>
    <row r="18" spans="1:7" ht="18.5" x14ac:dyDescent="0.45">
      <c r="A18" s="311" t="s">
        <v>285</v>
      </c>
      <c r="B18" s="311"/>
      <c r="C18" s="312">
        <f>D9-C9</f>
        <v>2.8</v>
      </c>
      <c r="D18" s="313"/>
      <c r="E18" s="290" t="s">
        <v>289</v>
      </c>
      <c r="F18" s="290"/>
      <c r="G18" s="290"/>
    </row>
    <row r="19" spans="1:7" ht="19.5" customHeight="1" x14ac:dyDescent="0.35">
      <c r="A19" s="1"/>
      <c r="B19" s="1"/>
      <c r="C19" s="1"/>
      <c r="D19" s="1"/>
      <c r="E19" s="1"/>
      <c r="F19" s="1"/>
      <c r="G19" s="1"/>
    </row>
    <row r="20" spans="1:7" ht="19.5" customHeight="1" x14ac:dyDescent="0.35">
      <c r="A20" s="1"/>
      <c r="B20" s="1"/>
      <c r="C20" s="1"/>
      <c r="D20" s="1"/>
      <c r="E20" s="1"/>
      <c r="F20" s="1"/>
      <c r="G20" s="1"/>
    </row>
    <row r="21" spans="1:7" ht="22" customHeight="1" x14ac:dyDescent="0.35">
      <c r="A21" s="289" t="s">
        <v>290</v>
      </c>
      <c r="B21" s="289"/>
      <c r="C21" s="289"/>
      <c r="D21" s="289"/>
      <c r="E21" s="289"/>
      <c r="F21" s="289"/>
      <c r="G21" s="289"/>
    </row>
    <row r="22" spans="1:7" ht="26" customHeight="1" x14ac:dyDescent="0.35">
      <c r="A22" s="314" t="str">
        <f>"FY2025 marks a structural break rather than a normal trend year. Reported revenue rose "&amp;TEXT(C15,"0.0%")&amp;" and Adjusted EBITDA rose "&amp;TEXT(C16,"0.0%")&amp;" versus FY2024, primarily because Intelsat was consolidated from 17 July 2025. However, the EBITDA margin fell by "&amp;TEXT(ABS(C17),"0.0")&amp;" percentage points to "&amp;TEXT(D8,"0.0%")&amp;", while leverage increased by "&amp;TEXT(C18,"0.0x")&amp;" to "&amp;TEXT(D9,"0.0x")&amp;". The model therefore treats FY2025 as the combined-company launch point and makes margin recovery, cash conversion, and deleveraging the core valuation tests."</f>
        <v>FY2025 marks a structural break rather than a normal trend year. Reported revenue rose 31.3% and Adjusted EBITDA rose 16.3% versus FY2024, primarily because Intelsat was consolidated from 17 July 2025. However, the EBITDA margin fell by 5.8 percentage points to 45.5%, while leverage increased by 2.8x to 3.9x. The model therefore treats FY2025 as the combined-company launch point and makes margin recovery, cash conversion, and deleveraging the core valuation tests.</v>
      </c>
      <c r="B22" s="314"/>
      <c r="C22" s="314"/>
      <c r="D22" s="314"/>
      <c r="E22" s="314"/>
      <c r="F22" s="314"/>
      <c r="G22" s="314"/>
    </row>
    <row r="23" spans="1:7" ht="26" customHeight="1" x14ac:dyDescent="0.35">
      <c r="A23" s="314"/>
      <c r="B23" s="314"/>
      <c r="C23" s="314"/>
      <c r="D23" s="314"/>
      <c r="E23" s="314"/>
      <c r="F23" s="314"/>
      <c r="G23" s="314"/>
    </row>
    <row r="24" spans="1:7" ht="26" customHeight="1" x14ac:dyDescent="0.35">
      <c r="A24" s="314"/>
      <c r="B24" s="314"/>
      <c r="C24" s="314"/>
      <c r="D24" s="314"/>
      <c r="E24" s="314"/>
      <c r="F24" s="314"/>
      <c r="G24" s="314"/>
    </row>
    <row r="25" spans="1:7" ht="26" customHeight="1" x14ac:dyDescent="0.35">
      <c r="A25" s="314"/>
      <c r="B25" s="314"/>
      <c r="C25" s="314"/>
      <c r="D25" s="314"/>
      <c r="E25" s="314"/>
      <c r="F25" s="314"/>
      <c r="G25" s="314"/>
    </row>
    <row r="26" spans="1:7" ht="19.5" customHeight="1" x14ac:dyDescent="0.35">
      <c r="A26" s="1"/>
      <c r="B26" s="1"/>
      <c r="C26" s="1"/>
      <c r="D26" s="1"/>
      <c r="E26" s="1"/>
      <c r="F26" s="1"/>
      <c r="G26" s="1"/>
    </row>
    <row r="27" spans="1:7" ht="22" customHeight="1" x14ac:dyDescent="0.35">
      <c r="A27" s="289" t="s">
        <v>291</v>
      </c>
      <c r="B27" s="289"/>
      <c r="C27" s="289"/>
      <c r="D27" s="289"/>
      <c r="E27" s="289"/>
      <c r="F27" s="289"/>
      <c r="G27" s="289"/>
    </row>
    <row r="28" spans="1:7" ht="24" customHeight="1" x14ac:dyDescent="0.35">
      <c r="A28" s="310" t="s">
        <v>292</v>
      </c>
      <c r="B28" s="310"/>
      <c r="C28" s="310"/>
      <c r="D28" s="310"/>
      <c r="E28" s="310"/>
      <c r="F28" s="310"/>
      <c r="G28" s="310"/>
    </row>
    <row r="29" spans="1:7" ht="24" customHeight="1" x14ac:dyDescent="0.35">
      <c r="A29" s="310"/>
      <c r="B29" s="310"/>
      <c r="C29" s="310"/>
      <c r="D29" s="310"/>
      <c r="E29" s="310"/>
      <c r="F29" s="310"/>
      <c r="G29" s="310"/>
    </row>
    <row r="30" spans="1:7" ht="24" customHeight="1" x14ac:dyDescent="0.35">
      <c r="A30" s="310"/>
      <c r="B30" s="310"/>
      <c r="C30" s="310"/>
      <c r="D30" s="310"/>
      <c r="E30" s="310"/>
      <c r="F30" s="310"/>
      <c r="G30" s="310"/>
    </row>
    <row r="31" spans="1:7" ht="19.5" customHeight="1" x14ac:dyDescent="0.35"/>
    <row r="32" spans="1:7" ht="19.5" customHeight="1" x14ac:dyDescent="0.35"/>
    <row r="33" customFormat="1" ht="19.5" customHeight="1" x14ac:dyDescent="0.35"/>
    <row r="34" customFormat="1" ht="19.5" customHeight="1" x14ac:dyDescent="0.35"/>
    <row r="35" customFormat="1" ht="19.5" customHeight="1" x14ac:dyDescent="0.35"/>
    <row r="36" customFormat="1" ht="19.5" customHeight="1" x14ac:dyDescent="0.35"/>
    <row r="37" customFormat="1" ht="19.5" customHeight="1" x14ac:dyDescent="0.35"/>
    <row r="38" customFormat="1" ht="19.5" customHeight="1" x14ac:dyDescent="0.35"/>
    <row r="39" customFormat="1" ht="19.5" customHeight="1" x14ac:dyDescent="0.35"/>
    <row r="40" customFormat="1" ht="19.5" customHeight="1" x14ac:dyDescent="0.35"/>
    <row r="41" customFormat="1" ht="19.5" customHeight="1" x14ac:dyDescent="0.35"/>
    <row r="42" customFormat="1" ht="19.5" customHeight="1" x14ac:dyDescent="0.35"/>
    <row r="43" customFormat="1" ht="19.5" customHeight="1" x14ac:dyDescent="0.35"/>
    <row r="44" customFormat="1" ht="19.5" customHeight="1" x14ac:dyDescent="0.35"/>
    <row r="45" customFormat="1" ht="19.5" customHeight="1" x14ac:dyDescent="0.35"/>
    <row r="46" customFormat="1" ht="19.5" customHeight="1" x14ac:dyDescent="0.35"/>
    <row r="47" customFormat="1" ht="19.5" customHeight="1" x14ac:dyDescent="0.35"/>
    <row r="48" customFormat="1" ht="19.5" customHeight="1" x14ac:dyDescent="0.35"/>
    <row r="49" customFormat="1" ht="19.5" customHeight="1" x14ac:dyDescent="0.35"/>
    <row r="50" customFormat="1" ht="19.5" customHeight="1" x14ac:dyDescent="0.35"/>
    <row r="51" customFormat="1" ht="19.5" customHeight="1" x14ac:dyDescent="0.35"/>
    <row r="52" customFormat="1" ht="19.5" customHeight="1" x14ac:dyDescent="0.35"/>
    <row r="53" customFormat="1" ht="19.5" customHeight="1" x14ac:dyDescent="0.35"/>
    <row r="54" customFormat="1" ht="19.5" customHeight="1" x14ac:dyDescent="0.35"/>
    <row r="55" customFormat="1" ht="19.5" customHeight="1" x14ac:dyDescent="0.35"/>
    <row r="56" customFormat="1" ht="19.5" customHeight="1" x14ac:dyDescent="0.35"/>
    <row r="57" customFormat="1" ht="19.5" customHeight="1" x14ac:dyDescent="0.35"/>
    <row r="58" customFormat="1" ht="19.5" customHeight="1" x14ac:dyDescent="0.35"/>
    <row r="59" customFormat="1" ht="19.5" customHeight="1" x14ac:dyDescent="0.35"/>
    <row r="60" customFormat="1" ht="19.5" customHeight="1" x14ac:dyDescent="0.35"/>
    <row r="61" customFormat="1" ht="19.5" customHeight="1" x14ac:dyDescent="0.35"/>
    <row r="62" customFormat="1" ht="19.5" customHeight="1" x14ac:dyDescent="0.35"/>
    <row r="63" customFormat="1" ht="19.5" customHeight="1" x14ac:dyDescent="0.35"/>
    <row r="64" customFormat="1" ht="19.5" customHeight="1" x14ac:dyDescent="0.35"/>
    <row r="65" customFormat="1" ht="19.5" customHeight="1" x14ac:dyDescent="0.35"/>
    <row r="66" customFormat="1" ht="19.5" customHeight="1" x14ac:dyDescent="0.35"/>
    <row r="67" customFormat="1" ht="19.5" customHeight="1" x14ac:dyDescent="0.35"/>
    <row r="68" customFormat="1" ht="19.5" customHeight="1" x14ac:dyDescent="0.35"/>
    <row r="69" customFormat="1" ht="19.5" customHeight="1" x14ac:dyDescent="0.35"/>
    <row r="70" customFormat="1" ht="19.5" customHeight="1" x14ac:dyDescent="0.35"/>
    <row r="71" customFormat="1" ht="19.5" customHeight="1" x14ac:dyDescent="0.35"/>
    <row r="72" customFormat="1" ht="19.5" customHeight="1" x14ac:dyDescent="0.35"/>
    <row r="73" customFormat="1" ht="19.5" customHeight="1" x14ac:dyDescent="0.35"/>
    <row r="74" customFormat="1" ht="19.5" customHeight="1" x14ac:dyDescent="0.35"/>
    <row r="75" customFormat="1" ht="19.5" customHeight="1" x14ac:dyDescent="0.35"/>
    <row r="76" customFormat="1" ht="19.5" customHeight="1" x14ac:dyDescent="0.35"/>
    <row r="77" customFormat="1" ht="19.5" customHeight="1" x14ac:dyDescent="0.35"/>
    <row r="78" customFormat="1" ht="19.5" customHeight="1" x14ac:dyDescent="0.35"/>
  </sheetData>
  <mergeCells count="20">
    <mergeCell ref="A28:G30"/>
    <mergeCell ref="A18:B18"/>
    <mergeCell ref="C18:D18"/>
    <mergeCell ref="E18:G18"/>
    <mergeCell ref="A21:G21"/>
    <mergeCell ref="A22:G25"/>
    <mergeCell ref="A27:G27"/>
    <mergeCell ref="A16:B16"/>
    <mergeCell ref="C16:D16"/>
    <mergeCell ref="E16:G16"/>
    <mergeCell ref="A17:B17"/>
    <mergeCell ref="C17:D17"/>
    <mergeCell ref="E17:G17"/>
    <mergeCell ref="A1:G1"/>
    <mergeCell ref="A2:G2"/>
    <mergeCell ref="A4:G4"/>
    <mergeCell ref="A14:G14"/>
    <mergeCell ref="A15:B15"/>
    <mergeCell ref="C15:D15"/>
    <mergeCell ref="E15:G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F83BA-1CAB-4B3F-835A-6C3388B8642F}">
  <sheetPr>
    <tabColor rgb="FF5B9BD5"/>
  </sheetPr>
  <dimension ref="A1:G78"/>
  <sheetViews>
    <sheetView showGridLines="0" workbookViewId="0">
      <selection activeCell="A31" sqref="A31:G34"/>
    </sheetView>
  </sheetViews>
  <sheetFormatPr defaultColWidth="8.7265625" defaultRowHeight="14.5" x14ac:dyDescent="0.35"/>
  <cols>
    <col min="1" max="1" width="30.90625" customWidth="1"/>
    <col min="2" max="6" width="14.1796875" customWidth="1"/>
    <col min="7" max="7" width="46.26953125" customWidth="1"/>
    <col min="8" max="14" width="14" customWidth="1"/>
  </cols>
  <sheetData>
    <row r="1" spans="1:7" ht="30" customHeight="1" x14ac:dyDescent="0.55000000000000004">
      <c r="A1" s="293" t="s">
        <v>293</v>
      </c>
      <c r="B1" s="293"/>
      <c r="C1" s="293"/>
      <c r="D1" s="293"/>
      <c r="E1" s="293"/>
      <c r="F1" s="293"/>
      <c r="G1" s="293"/>
    </row>
    <row r="2" spans="1:7" ht="22" customHeight="1" x14ac:dyDescent="0.35">
      <c r="A2" s="294" t="s">
        <v>294</v>
      </c>
      <c r="B2" s="294"/>
      <c r="C2" s="294"/>
      <c r="D2" s="294"/>
      <c r="E2" s="294"/>
      <c r="F2" s="294"/>
      <c r="G2" s="294"/>
    </row>
    <row r="3" spans="1:7" ht="19.5" customHeight="1" x14ac:dyDescent="0.35">
      <c r="A3" s="1"/>
      <c r="B3" s="1"/>
      <c r="C3" s="1"/>
      <c r="D3" s="1"/>
      <c r="E3" s="1"/>
      <c r="F3" s="1"/>
      <c r="G3" s="1"/>
    </row>
    <row r="4" spans="1:7" ht="22" customHeight="1" x14ac:dyDescent="0.35">
      <c r="A4" s="289" t="s">
        <v>295</v>
      </c>
      <c r="B4" s="289"/>
      <c r="C4" s="289"/>
      <c r="D4" s="289"/>
      <c r="E4" s="289"/>
      <c r="F4" s="289"/>
      <c r="G4" s="289"/>
    </row>
    <row r="5" spans="1:7" ht="28" customHeight="1" x14ac:dyDescent="0.35">
      <c r="A5" s="142" t="s">
        <v>26</v>
      </c>
      <c r="B5" s="142" t="s">
        <v>11</v>
      </c>
      <c r="C5" s="142" t="s">
        <v>12</v>
      </c>
      <c r="D5" s="142" t="s">
        <v>13</v>
      </c>
      <c r="E5" s="142" t="s">
        <v>14</v>
      </c>
      <c r="F5" s="142" t="s">
        <v>15</v>
      </c>
      <c r="G5" s="142" t="s">
        <v>296</v>
      </c>
    </row>
    <row r="6" spans="1:7" ht="29" x14ac:dyDescent="0.35">
      <c r="A6" s="158" t="s">
        <v>34</v>
      </c>
      <c r="B6" s="173">
        <f>Data_Raw!D6*(1+Assumptions!B15)</f>
        <v>2627</v>
      </c>
      <c r="C6" s="173">
        <f>B6*(1+Assumptions!C15)</f>
        <v>2666.4049999999997</v>
      </c>
      <c r="D6" s="173">
        <f>C6*(1+Assumptions!D15)</f>
        <v>2719.7330999999999</v>
      </c>
      <c r="E6" s="173">
        <f>D6*(1+Assumptions!E15)</f>
        <v>2787.7264274999998</v>
      </c>
      <c r="F6" s="173">
        <f>E6*(1+Assumptions!F15)</f>
        <v>2857.4195881874994</v>
      </c>
      <c r="G6" s="174" t="s">
        <v>303</v>
      </c>
    </row>
    <row r="7" spans="1:7" ht="31.5" customHeight="1" x14ac:dyDescent="0.35">
      <c r="A7" s="34" t="s">
        <v>297</v>
      </c>
      <c r="B7" s="36">
        <f>Assumptions!B15</f>
        <v>0</v>
      </c>
      <c r="C7" s="36">
        <f>Assumptions!C15</f>
        <v>1.4999999999999999E-2</v>
      </c>
      <c r="D7" s="36">
        <f>Assumptions!D15</f>
        <v>0.02</v>
      </c>
      <c r="E7" s="36">
        <f>Assumptions!E15</f>
        <v>2.5000000000000001E-2</v>
      </c>
      <c r="F7" s="36">
        <f>Assumptions!F15</f>
        <v>2.5000000000000001E-2</v>
      </c>
      <c r="G7" s="44" t="s">
        <v>304</v>
      </c>
    </row>
    <row r="8" spans="1:7" x14ac:dyDescent="0.35">
      <c r="A8" s="162" t="s">
        <v>38</v>
      </c>
      <c r="B8" s="175">
        <f>B6*Assumptions!B16</f>
        <v>1195.2850000000001</v>
      </c>
      <c r="C8" s="175">
        <f>C6*Assumptions!C16</f>
        <v>1253.2103499999998</v>
      </c>
      <c r="D8" s="175">
        <f>D6*Assumptions!D16</f>
        <v>1305.4718879999998</v>
      </c>
      <c r="E8" s="175">
        <f>E6*Assumptions!E16</f>
        <v>1352.0473173374999</v>
      </c>
      <c r="F8" s="175">
        <f>F6*Assumptions!F16</f>
        <v>1400.1355982118746</v>
      </c>
      <c r="G8" s="176" t="s">
        <v>305</v>
      </c>
    </row>
    <row r="9" spans="1:7" ht="29" x14ac:dyDescent="0.35">
      <c r="A9" s="34" t="s">
        <v>298</v>
      </c>
      <c r="B9" s="36">
        <f>Assumptions!B16</f>
        <v>0.45500000000000002</v>
      </c>
      <c r="C9" s="36">
        <f>Assumptions!C16</f>
        <v>0.47</v>
      </c>
      <c r="D9" s="36">
        <f>Assumptions!D16</f>
        <v>0.48</v>
      </c>
      <c r="E9" s="36">
        <f>Assumptions!E16</f>
        <v>0.48499999999999999</v>
      </c>
      <c r="F9" s="36">
        <f>Assumptions!F16</f>
        <v>0.49</v>
      </c>
      <c r="G9" s="44" t="s">
        <v>306</v>
      </c>
    </row>
    <row r="10" spans="1:7" ht="29" x14ac:dyDescent="0.35">
      <c r="A10" s="162" t="s">
        <v>50</v>
      </c>
      <c r="B10" s="177">
        <f>-B6*Assumptions!B17</f>
        <v>-683.02</v>
      </c>
      <c r="C10" s="177">
        <f>-C6*Assumptions!C17</f>
        <v>-666.60124999999994</v>
      </c>
      <c r="D10" s="177">
        <f>-D6*Assumptions!D17</f>
        <v>-652.7359439999999</v>
      </c>
      <c r="E10" s="177">
        <f>-E6*Assumptions!E17</f>
        <v>-641.17707832500002</v>
      </c>
      <c r="F10" s="177">
        <f>-F6*Assumptions!F17</f>
        <v>-642.91940734218736</v>
      </c>
      <c r="G10" s="176" t="s">
        <v>307</v>
      </c>
    </row>
    <row r="11" spans="1:7" ht="29" x14ac:dyDescent="0.35">
      <c r="A11" s="34" t="s">
        <v>299</v>
      </c>
      <c r="B11" s="36">
        <f>Assumptions!B17</f>
        <v>0.26</v>
      </c>
      <c r="C11" s="36">
        <f>Assumptions!C17</f>
        <v>0.25</v>
      </c>
      <c r="D11" s="36">
        <f>Assumptions!D17</f>
        <v>0.24</v>
      </c>
      <c r="E11" s="36">
        <f>Assumptions!E17</f>
        <v>0.23</v>
      </c>
      <c r="F11" s="36">
        <f>Assumptions!F17</f>
        <v>0.22500000000000001</v>
      </c>
      <c r="G11" s="44" t="s">
        <v>308</v>
      </c>
    </row>
    <row r="12" spans="1:7" x14ac:dyDescent="0.35">
      <c r="A12" s="162" t="s">
        <v>51</v>
      </c>
      <c r="B12" s="177">
        <f>B8+B10</f>
        <v>512.2650000000001</v>
      </c>
      <c r="C12" s="177">
        <f>C8+C10</f>
        <v>586.6090999999999</v>
      </c>
      <c r="D12" s="177">
        <f>D8+D10</f>
        <v>652.7359439999999</v>
      </c>
      <c r="E12" s="177">
        <f>E8+E10</f>
        <v>710.87023901249984</v>
      </c>
      <c r="F12" s="177">
        <f>F8+F10</f>
        <v>757.21619086968724</v>
      </c>
      <c r="G12" s="176" t="s">
        <v>309</v>
      </c>
    </row>
    <row r="13" spans="1:7" ht="29" x14ac:dyDescent="0.35">
      <c r="A13" s="34" t="s">
        <v>52</v>
      </c>
      <c r="B13" s="45">
        <f>-B12*Assumptions!B20</f>
        <v>-122.27765550000002</v>
      </c>
      <c r="C13" s="45">
        <f>-C12*Assumptions!C20</f>
        <v>-140.02359216999997</v>
      </c>
      <c r="D13" s="45">
        <f>-D12*Assumptions!D20</f>
        <v>-155.80806983279999</v>
      </c>
      <c r="E13" s="45">
        <f>-E12*Assumptions!E20</f>
        <v>-169.68472605228371</v>
      </c>
      <c r="F13" s="45">
        <f>-F12*Assumptions!F20</f>
        <v>-180.74750476059435</v>
      </c>
      <c r="G13" s="44" t="s">
        <v>310</v>
      </c>
    </row>
    <row r="14" spans="1:7" ht="29" x14ac:dyDescent="0.35">
      <c r="A14" s="162" t="s">
        <v>53</v>
      </c>
      <c r="B14" s="177">
        <f>B12+B13</f>
        <v>389.98734450000006</v>
      </c>
      <c r="C14" s="177">
        <f>C12+C13</f>
        <v>446.58550782999993</v>
      </c>
      <c r="D14" s="177">
        <f>D12+D13</f>
        <v>496.92787416719989</v>
      </c>
      <c r="E14" s="177">
        <f>E12+E13</f>
        <v>541.1855129602161</v>
      </c>
      <c r="F14" s="177">
        <f>F12+F13</f>
        <v>576.46868610909291</v>
      </c>
      <c r="G14" s="176" t="s">
        <v>311</v>
      </c>
    </row>
    <row r="15" spans="1:7" x14ac:dyDescent="0.35">
      <c r="A15" s="34" t="s">
        <v>300</v>
      </c>
      <c r="B15" s="45">
        <f>-B10</f>
        <v>683.02</v>
      </c>
      <c r="C15" s="45">
        <f>-C10</f>
        <v>666.60124999999994</v>
      </c>
      <c r="D15" s="45">
        <f>-D10</f>
        <v>652.7359439999999</v>
      </c>
      <c r="E15" s="45">
        <f>-E10</f>
        <v>641.17707832500002</v>
      </c>
      <c r="F15" s="45">
        <f>-F10</f>
        <v>642.91940734218736</v>
      </c>
      <c r="G15" s="44" t="s">
        <v>312</v>
      </c>
    </row>
    <row r="16" spans="1:7" ht="29" x14ac:dyDescent="0.35">
      <c r="A16" s="162" t="s">
        <v>301</v>
      </c>
      <c r="B16" s="177">
        <f>-B6*Assumptions!B18</f>
        <v>-693.52800000000002</v>
      </c>
      <c r="C16" s="177">
        <f>-C6*Assumptions!C18</f>
        <v>-586.6090999999999</v>
      </c>
      <c r="D16" s="177">
        <f>-D6*Assumptions!D18</f>
        <v>-516.74928899999998</v>
      </c>
      <c r="E16" s="177">
        <f>-E6*Assumptions!E18</f>
        <v>-473.91349267499999</v>
      </c>
      <c r="F16" s="177">
        <f>-F6*Assumptions!F18</f>
        <v>-457.18713410999993</v>
      </c>
      <c r="G16" s="176" t="s">
        <v>313</v>
      </c>
    </row>
    <row r="17" spans="1:7" ht="29.5" thickBot="1" x14ac:dyDescent="0.4">
      <c r="A17" s="34" t="s">
        <v>302</v>
      </c>
      <c r="B17" s="45">
        <f>-B6*Assumptions!B19</f>
        <v>-13.135</v>
      </c>
      <c r="C17" s="45">
        <f>-C6*Assumptions!C19</f>
        <v>-13.332025</v>
      </c>
      <c r="D17" s="45">
        <f>-D6*Assumptions!D19</f>
        <v>-13.598665499999999</v>
      </c>
      <c r="E17" s="45">
        <f>-E6*Assumptions!E19</f>
        <v>-13.938632137499999</v>
      </c>
      <c r="F17" s="45">
        <f>-F6*Assumptions!F19</f>
        <v>-14.287097940937498</v>
      </c>
      <c r="G17" s="44" t="s">
        <v>314</v>
      </c>
    </row>
    <row r="18" spans="1:7" ht="29.5" thickTop="1" x14ac:dyDescent="0.35">
      <c r="A18" s="178" t="s">
        <v>54</v>
      </c>
      <c r="B18" s="179">
        <f>B14+B15+B16+B17</f>
        <v>366.34434450000003</v>
      </c>
      <c r="C18" s="179">
        <f>C14+C15+C16+C17</f>
        <v>513.24563282999986</v>
      </c>
      <c r="D18" s="179">
        <f>D14+D15+D16+D17</f>
        <v>619.31586366719966</v>
      </c>
      <c r="E18" s="179">
        <f>E14+E15+E16+E17</f>
        <v>694.51046647271619</v>
      </c>
      <c r="F18" s="179">
        <f>F14+F15+F16+F17</f>
        <v>747.91386140034285</v>
      </c>
      <c r="G18" s="180" t="s">
        <v>315</v>
      </c>
    </row>
    <row r="19" spans="1:7" ht="19.5" customHeight="1" x14ac:dyDescent="0.35">
      <c r="A19" s="1"/>
      <c r="B19" s="1"/>
      <c r="C19" s="1"/>
      <c r="D19" s="1"/>
      <c r="E19" s="1"/>
      <c r="F19" s="1"/>
      <c r="G19" s="1"/>
    </row>
    <row r="20" spans="1:7" ht="19.5" customHeight="1" x14ac:dyDescent="0.35">
      <c r="A20" s="1"/>
      <c r="B20" s="1"/>
      <c r="C20" s="1"/>
      <c r="D20" s="1"/>
      <c r="E20" s="1"/>
      <c r="F20" s="1"/>
      <c r="G20" s="1"/>
    </row>
    <row r="21" spans="1:7" ht="22" customHeight="1" x14ac:dyDescent="0.35">
      <c r="A21" s="289" t="s">
        <v>316</v>
      </c>
      <c r="B21" s="289"/>
      <c r="C21" s="289"/>
      <c r="D21" s="289"/>
      <c r="E21" s="289"/>
      <c r="F21" s="289"/>
      <c r="G21" s="289"/>
    </row>
    <row r="22" spans="1:7" ht="28" customHeight="1" x14ac:dyDescent="0.35">
      <c r="A22" s="142" t="s">
        <v>26</v>
      </c>
      <c r="B22" s="142" t="s">
        <v>11</v>
      </c>
      <c r="C22" s="142" t="s">
        <v>15</v>
      </c>
      <c r="D22" s="296" t="s">
        <v>317</v>
      </c>
      <c r="E22" s="296"/>
      <c r="F22" s="296"/>
      <c r="G22" s="296"/>
    </row>
    <row r="23" spans="1:7" ht="39" customHeight="1" x14ac:dyDescent="0.35">
      <c r="A23" s="158" t="s">
        <v>34</v>
      </c>
      <c r="B23" s="46">
        <f>B6</f>
        <v>2627</v>
      </c>
      <c r="C23" s="46">
        <f>F6</f>
        <v>2857.4195881874994</v>
      </c>
      <c r="D23" s="41">
        <f>(C23/B23)^(1/4)-1</f>
        <v>2.1241573752680099E-2</v>
      </c>
      <c r="E23" s="315" t="s">
        <v>320</v>
      </c>
      <c r="F23" s="315"/>
      <c r="G23" s="315"/>
    </row>
    <row r="24" spans="1:7" x14ac:dyDescent="0.35">
      <c r="A24" s="34" t="s">
        <v>38</v>
      </c>
      <c r="B24" s="47">
        <f>B8</f>
        <v>1195.2850000000001</v>
      </c>
      <c r="C24" s="47">
        <f>F8</f>
        <v>1400.1355982118746</v>
      </c>
      <c r="D24" s="42">
        <f>(C24/B24)^(1/4)-1</f>
        <v>4.033846703787547E-2</v>
      </c>
      <c r="E24" s="307" t="s">
        <v>321</v>
      </c>
      <c r="F24" s="307"/>
      <c r="G24" s="307"/>
    </row>
    <row r="25" spans="1:7" x14ac:dyDescent="0.35">
      <c r="A25" s="162" t="s">
        <v>298</v>
      </c>
      <c r="B25" s="181">
        <f>B9</f>
        <v>0.45500000000000002</v>
      </c>
      <c r="C25" s="181">
        <f>F9</f>
        <v>0.49</v>
      </c>
      <c r="D25" s="182">
        <f>(C25-B25)*100</f>
        <v>3.4999999999999973</v>
      </c>
      <c r="E25" s="316" t="s">
        <v>322</v>
      </c>
      <c r="F25" s="316"/>
      <c r="G25" s="316"/>
    </row>
    <row r="26" spans="1:7" x14ac:dyDescent="0.35">
      <c r="A26" s="34" t="s">
        <v>54</v>
      </c>
      <c r="B26" s="47">
        <f>B18</f>
        <v>366.34434450000003</v>
      </c>
      <c r="C26" s="47">
        <f>F18</f>
        <v>747.91386140034285</v>
      </c>
      <c r="D26" s="42">
        <f>(C26/B26)^(1/4)-1</f>
        <v>0.1953374404054995</v>
      </c>
      <c r="E26" s="307" t="s">
        <v>323</v>
      </c>
      <c r="F26" s="307"/>
      <c r="G26" s="307"/>
    </row>
    <row r="27" spans="1:7" x14ac:dyDescent="0.35">
      <c r="A27" s="162" t="s">
        <v>318</v>
      </c>
      <c r="B27" s="42">
        <f>B18/B6</f>
        <v>0.13945350000000001</v>
      </c>
      <c r="C27" s="42">
        <f>F18/F6</f>
        <v>0.26174449999999999</v>
      </c>
      <c r="D27" s="48">
        <f>(C27-B27)*100</f>
        <v>12.229099999999999</v>
      </c>
      <c r="E27" s="316" t="s">
        <v>324</v>
      </c>
      <c r="F27" s="316"/>
      <c r="G27" s="316"/>
    </row>
    <row r="28" spans="1:7" x14ac:dyDescent="0.35">
      <c r="A28" s="32" t="s">
        <v>319</v>
      </c>
      <c r="B28" s="170">
        <f>-B16/B6</f>
        <v>0.26400000000000001</v>
      </c>
      <c r="C28" s="170">
        <f>-F16/F6</f>
        <v>0.16</v>
      </c>
      <c r="D28" s="183">
        <f>(C28-B28)*100</f>
        <v>-10.4</v>
      </c>
      <c r="E28" s="290" t="s">
        <v>325</v>
      </c>
      <c r="F28" s="290"/>
      <c r="G28" s="290"/>
    </row>
    <row r="29" spans="1:7" ht="19.5" customHeight="1" x14ac:dyDescent="0.35">
      <c r="A29" s="1"/>
      <c r="B29" s="1"/>
      <c r="C29" s="1"/>
      <c r="D29" s="1"/>
      <c r="E29" s="1"/>
      <c r="F29" s="1"/>
      <c r="G29" s="1"/>
    </row>
    <row r="30" spans="1:7" ht="22" customHeight="1" x14ac:dyDescent="0.35">
      <c r="A30" s="289" t="s">
        <v>326</v>
      </c>
      <c r="B30" s="289"/>
      <c r="C30" s="289"/>
      <c r="D30" s="289"/>
      <c r="E30" s="289"/>
      <c r="F30" s="289"/>
      <c r="G30" s="289"/>
    </row>
    <row r="31" spans="1:7" ht="26" customHeight="1" x14ac:dyDescent="0.35">
      <c r="A31" s="314" t="str">
        <f>"The "&amp;Assumptions!B5&amp;" case holds FY2026 revenue at €"&amp;TEXT(B6,"#,##0")&amp;"m before growth resumes, reaching €"&amp;TEXT(F6,"#,##0")&amp;"m by FY2030. EBITDA margin expands from "&amp;TEXT(B9,"0.0%")&amp;" to "&amp;TEXT(F9,"0.0%")&amp;", while CapEx intensity falls from "&amp;TEXT(-B16/B6,"0.0%")&amp;" to "&amp;TEXT(-F16/F6,"0.0%")&amp;". These changes lift FCFF from €"&amp;TEXT(B18,"#,##0")&amp;"m to €"&amp;TEXT(F18,"#,##0")&amp;"m. The valuation therefore depends less on top-line acceleration than on disciplined integration, margin recovery, and capital normalisation."</f>
        <v>The Base case holds FY2026 revenue at €2,627m before growth resumes, reaching €2,857m by FY2030. EBITDA margin expands from 45.5% to 49.0%, while CapEx intensity falls from 26.4% to 16.0%. These changes lift FCFF from €366m to €748m. The valuation therefore depends less on top-line acceleration than on disciplined integration, margin recovery, and capital normalisation.</v>
      </c>
      <c r="B31" s="314"/>
      <c r="C31" s="314"/>
      <c r="D31" s="314"/>
      <c r="E31" s="314"/>
      <c r="F31" s="314"/>
      <c r="G31" s="314"/>
    </row>
    <row r="32" spans="1:7" ht="26" customHeight="1" x14ac:dyDescent="0.35">
      <c r="A32" s="314"/>
      <c r="B32" s="314"/>
      <c r="C32" s="314"/>
      <c r="D32" s="314"/>
      <c r="E32" s="314"/>
      <c r="F32" s="314"/>
      <c r="G32" s="314"/>
    </row>
    <row r="33" spans="1:7" ht="11" customHeight="1" x14ac:dyDescent="0.35">
      <c r="A33" s="314"/>
      <c r="B33" s="314"/>
      <c r="C33" s="314"/>
      <c r="D33" s="314"/>
      <c r="E33" s="314"/>
      <c r="F33" s="314"/>
      <c r="G33" s="314"/>
    </row>
    <row r="34" spans="1:7" ht="6.5" hidden="1" customHeight="1" x14ac:dyDescent="0.35">
      <c r="A34" s="314"/>
      <c r="B34" s="314"/>
      <c r="C34" s="314"/>
      <c r="D34" s="314"/>
      <c r="E34" s="314"/>
      <c r="F34" s="314"/>
      <c r="G34" s="314"/>
    </row>
    <row r="35" spans="1:7" ht="19.5" customHeight="1" x14ac:dyDescent="0.35">
      <c r="A35" s="1"/>
      <c r="B35" s="1"/>
      <c r="C35" s="1"/>
      <c r="D35" s="1"/>
      <c r="E35" s="1"/>
      <c r="F35" s="1"/>
      <c r="G35" s="1"/>
    </row>
    <row r="36" spans="1:7" ht="22" customHeight="1" x14ac:dyDescent="0.35">
      <c r="A36" s="289" t="s">
        <v>327</v>
      </c>
      <c r="B36" s="289"/>
      <c r="C36" s="289"/>
      <c r="D36" s="289"/>
      <c r="E36" s="289"/>
      <c r="F36" s="289"/>
      <c r="G36" s="289"/>
    </row>
    <row r="37" spans="1:7" ht="28" customHeight="1" x14ac:dyDescent="0.35">
      <c r="A37" s="142" t="s">
        <v>328</v>
      </c>
      <c r="B37" s="142" t="s">
        <v>202</v>
      </c>
      <c r="C37" s="296" t="s">
        <v>329</v>
      </c>
      <c r="D37" s="296"/>
      <c r="E37" s="296"/>
      <c r="F37" s="296"/>
      <c r="G37" s="296"/>
    </row>
    <row r="38" spans="1:7" x14ac:dyDescent="0.35">
      <c r="A38" s="158" t="s">
        <v>330</v>
      </c>
      <c r="B38" s="184" t="str">
        <f>IF(AND(B7=Assumptions!B15,C7=Assumptions!C15,D7=Assumptions!D15,E7=Assumptions!E15,F7=Assumptions!F15),"PASS","REVIEW")</f>
        <v>PASS</v>
      </c>
      <c r="C38" s="317" t="s">
        <v>334</v>
      </c>
      <c r="D38" s="317"/>
      <c r="E38" s="317"/>
      <c r="F38" s="317"/>
      <c r="G38" s="317"/>
    </row>
    <row r="39" spans="1:7" x14ac:dyDescent="0.35">
      <c r="A39" s="34" t="s">
        <v>331</v>
      </c>
      <c r="B39" s="49" t="str">
        <f>IF(MAX(ABS(B18-SUM(B14:B17)),ABS(C18-SUM(C14:C17)),ABS(D18-SUM(D14:D17)),ABS(E18-SUM(E14:E17)),ABS(F18-SUM(F14:F17)))&lt;0.01,"PASS","REVIEW")</f>
        <v>PASS</v>
      </c>
      <c r="C39" s="318" t="s">
        <v>335</v>
      </c>
      <c r="D39" s="318"/>
      <c r="E39" s="318"/>
      <c r="F39" s="318"/>
      <c r="G39" s="318"/>
    </row>
    <row r="40" spans="1:7" x14ac:dyDescent="0.35">
      <c r="A40" s="162" t="s">
        <v>332</v>
      </c>
      <c r="B40" s="147" t="str">
        <f>IF(COUNT(B6:F18)=65,"PASS","REVIEW")</f>
        <v>PASS</v>
      </c>
      <c r="C40" s="319" t="s">
        <v>336</v>
      </c>
      <c r="D40" s="319"/>
      <c r="E40" s="319"/>
      <c r="F40" s="319"/>
      <c r="G40" s="319"/>
    </row>
    <row r="41" spans="1:7" x14ac:dyDescent="0.35">
      <c r="A41" s="32" t="s">
        <v>333</v>
      </c>
      <c r="B41" s="27" t="str">
        <f>IF(Assumptions!B7&gt;Assumptions!B8,"PASS","REVIEW")</f>
        <v>PASS</v>
      </c>
      <c r="C41" s="288" t="s">
        <v>337</v>
      </c>
      <c r="D41" s="288"/>
      <c r="E41" s="288"/>
      <c r="F41" s="288"/>
      <c r="G41" s="288"/>
    </row>
    <row r="42" spans="1:7" ht="19.5" customHeight="1" x14ac:dyDescent="0.35"/>
    <row r="43" spans="1:7" ht="19.5" customHeight="1" x14ac:dyDescent="0.35"/>
    <row r="44" spans="1:7" ht="19.5" customHeight="1" x14ac:dyDescent="0.35"/>
    <row r="45" spans="1:7" ht="19.5" customHeight="1" x14ac:dyDescent="0.35"/>
    <row r="46" spans="1:7" ht="19.5" customHeight="1" x14ac:dyDescent="0.35"/>
    <row r="47" spans="1:7" ht="19.5" customHeight="1" x14ac:dyDescent="0.35"/>
    <row r="48" spans="1:7" ht="19.5" customHeight="1" x14ac:dyDescent="0.35"/>
    <row r="49" ht="19.5" customHeight="1" x14ac:dyDescent="0.35"/>
    <row r="50" ht="19.5" customHeight="1" x14ac:dyDescent="0.35"/>
    <row r="51" ht="19.5" customHeight="1" x14ac:dyDescent="0.35"/>
    <row r="52" ht="19.5" customHeight="1" x14ac:dyDescent="0.35"/>
    <row r="53" ht="19.5" customHeight="1" x14ac:dyDescent="0.35"/>
    <row r="54" ht="19.5" customHeight="1" x14ac:dyDescent="0.35"/>
    <row r="55" ht="19.5" customHeight="1" x14ac:dyDescent="0.35"/>
    <row r="56" ht="19.5" customHeight="1" x14ac:dyDescent="0.35"/>
    <row r="57" ht="19.5" customHeight="1" x14ac:dyDescent="0.35"/>
    <row r="58" ht="19.5" customHeight="1" x14ac:dyDescent="0.35"/>
    <row r="59" ht="19.5" customHeight="1" x14ac:dyDescent="0.35"/>
    <row r="60" ht="19.5" customHeight="1" x14ac:dyDescent="0.35"/>
    <row r="61" ht="19.5" customHeight="1" x14ac:dyDescent="0.35"/>
    <row r="62" ht="19.5" customHeight="1" x14ac:dyDescent="0.35"/>
    <row r="63" ht="19.5" customHeight="1" x14ac:dyDescent="0.35"/>
    <row r="64" ht="19.5" customHeight="1" x14ac:dyDescent="0.35"/>
    <row r="65" ht="19.5" customHeight="1" x14ac:dyDescent="0.35"/>
    <row r="66" ht="19.5" customHeight="1" x14ac:dyDescent="0.35"/>
    <row r="67" ht="19.5" customHeight="1" x14ac:dyDescent="0.35"/>
    <row r="68" ht="19.5" customHeight="1" x14ac:dyDescent="0.35"/>
    <row r="69" ht="19.5" customHeight="1" x14ac:dyDescent="0.35"/>
    <row r="70" ht="19.5" customHeight="1" x14ac:dyDescent="0.35"/>
    <row r="71" ht="19.5" customHeight="1" x14ac:dyDescent="0.35"/>
    <row r="72" ht="19.5" customHeight="1" x14ac:dyDescent="0.35"/>
    <row r="73" ht="19.5" customHeight="1" x14ac:dyDescent="0.35"/>
    <row r="74" ht="19.5" customHeight="1" x14ac:dyDescent="0.35"/>
    <row r="75" ht="19.5" customHeight="1" x14ac:dyDescent="0.35"/>
    <row r="76" ht="19.5" customHeight="1" x14ac:dyDescent="0.35"/>
    <row r="77" ht="19.5" customHeight="1" x14ac:dyDescent="0.35"/>
    <row r="78" ht="19.5" customHeight="1" x14ac:dyDescent="0.35"/>
  </sheetData>
  <mergeCells count="19">
    <mergeCell ref="C41:G41"/>
    <mergeCell ref="A31:G34"/>
    <mergeCell ref="A36:G36"/>
    <mergeCell ref="C37:G37"/>
    <mergeCell ref="C38:G38"/>
    <mergeCell ref="C39:G39"/>
    <mergeCell ref="C40:G40"/>
    <mergeCell ref="A30:G30"/>
    <mergeCell ref="A1:G1"/>
    <mergeCell ref="A2:G2"/>
    <mergeCell ref="A4:G4"/>
    <mergeCell ref="A21:G21"/>
    <mergeCell ref="D22:G22"/>
    <mergeCell ref="E23:G23"/>
    <mergeCell ref="E24:G24"/>
    <mergeCell ref="E25:G25"/>
    <mergeCell ref="E26:G26"/>
    <mergeCell ref="E27:G27"/>
    <mergeCell ref="E28:G2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D7D31"/>
  </sheetPr>
  <dimension ref="A1:G78"/>
  <sheetViews>
    <sheetView showGridLines="0" zoomScaleNormal="100" workbookViewId="0">
      <selection activeCell="A13" sqref="A13:G13"/>
    </sheetView>
  </sheetViews>
  <sheetFormatPr defaultColWidth="8.7265625" defaultRowHeight="14.5" x14ac:dyDescent="0.35"/>
  <cols>
    <col min="1" max="1" width="30.90625" customWidth="1"/>
    <col min="2" max="2" width="15.36328125" customWidth="1"/>
    <col min="3" max="3" width="36.36328125" customWidth="1"/>
    <col min="4" max="4" width="10.90625" customWidth="1"/>
    <col min="5" max="5" width="13.6328125" customWidth="1"/>
    <col min="6" max="6" width="14.54296875" customWidth="1"/>
    <col min="7" max="7" width="36.36328125" customWidth="1"/>
    <col min="8" max="14" width="14" customWidth="1"/>
  </cols>
  <sheetData>
    <row r="1" spans="1:7" ht="23.5" x14ac:dyDescent="0.55000000000000004">
      <c r="A1" s="293" t="s">
        <v>338</v>
      </c>
      <c r="B1" s="293"/>
      <c r="C1" s="293"/>
      <c r="D1" s="293"/>
      <c r="E1" s="293"/>
      <c r="F1" s="293"/>
      <c r="G1" s="293"/>
    </row>
    <row r="2" spans="1:7" x14ac:dyDescent="0.35">
      <c r="A2" s="294" t="s">
        <v>339</v>
      </c>
      <c r="B2" s="294"/>
      <c r="C2" s="294"/>
      <c r="D2" s="294"/>
      <c r="E2" s="294"/>
      <c r="F2" s="294"/>
      <c r="G2" s="294"/>
    </row>
    <row r="3" spans="1:7" x14ac:dyDescent="0.35">
      <c r="A3" s="354" t="s">
        <v>804</v>
      </c>
      <c r="B3" s="352">
        <f>DATE(2026,8,19)</f>
        <v>46253</v>
      </c>
      <c r="C3" s="353" t="s">
        <v>848</v>
      </c>
      <c r="D3" s="353"/>
      <c r="E3" s="353"/>
      <c r="F3" s="353"/>
      <c r="G3" s="355"/>
    </row>
    <row r="4" spans="1:7" x14ac:dyDescent="0.35">
      <c r="A4" s="289" t="s">
        <v>340</v>
      </c>
      <c r="B4" s="289"/>
      <c r="C4" s="289"/>
      <c r="D4" s="289"/>
      <c r="E4" s="289"/>
      <c r="F4" s="289"/>
      <c r="G4" s="289"/>
    </row>
    <row r="5" spans="1:7" ht="43.5" x14ac:dyDescent="0.35">
      <c r="A5" s="187" t="s">
        <v>759</v>
      </c>
      <c r="B5" s="54">
        <v>2.9899999999999999E-2</v>
      </c>
      <c r="C5" s="303" t="s">
        <v>760</v>
      </c>
      <c r="D5" s="303"/>
      <c r="E5" s="303"/>
      <c r="F5" s="303"/>
      <c r="G5" s="303"/>
    </row>
    <row r="6" spans="1:7" ht="29" x14ac:dyDescent="0.35">
      <c r="A6" s="187" t="s">
        <v>341</v>
      </c>
      <c r="B6" s="54">
        <v>4.2299999999999997E-2</v>
      </c>
      <c r="C6" s="303" t="s">
        <v>383</v>
      </c>
      <c r="D6" s="303"/>
      <c r="E6" s="303"/>
      <c r="F6" s="303"/>
      <c r="G6" s="303"/>
    </row>
    <row r="7" spans="1:7" x14ac:dyDescent="0.35">
      <c r="A7" s="187" t="s">
        <v>57</v>
      </c>
      <c r="B7" s="52">
        <v>0.01</v>
      </c>
      <c r="C7" s="303" t="s">
        <v>342</v>
      </c>
      <c r="D7" s="303"/>
      <c r="E7" s="303"/>
      <c r="F7" s="303"/>
      <c r="G7" s="303"/>
    </row>
    <row r="8" spans="1:7" x14ac:dyDescent="0.35">
      <c r="A8" s="171" t="s">
        <v>58</v>
      </c>
      <c r="B8" s="52">
        <v>0.35</v>
      </c>
      <c r="C8" s="303" t="s">
        <v>343</v>
      </c>
      <c r="D8" s="303"/>
      <c r="E8" s="303"/>
      <c r="F8" s="303"/>
      <c r="G8" s="303"/>
    </row>
    <row r="9" spans="1:7" x14ac:dyDescent="0.35">
      <c r="A9" s="171" t="s">
        <v>59</v>
      </c>
      <c r="B9" s="53">
        <f>1-B8</f>
        <v>0.65</v>
      </c>
      <c r="C9" s="303" t="s">
        <v>344</v>
      </c>
      <c r="D9" s="303"/>
      <c r="E9" s="303"/>
      <c r="F9" s="303"/>
      <c r="G9" s="303"/>
    </row>
    <row r="10" spans="1:7" x14ac:dyDescent="0.35">
      <c r="A10" s="171" t="s">
        <v>20</v>
      </c>
      <c r="B10" s="54">
        <v>0.2387</v>
      </c>
      <c r="C10" s="303" t="s">
        <v>345</v>
      </c>
      <c r="D10" s="303"/>
      <c r="E10" s="303"/>
      <c r="F10" s="303"/>
      <c r="G10" s="303"/>
    </row>
    <row r="11" spans="1:7" x14ac:dyDescent="0.35">
      <c r="A11" s="1"/>
      <c r="B11" s="1"/>
      <c r="C11" s="1"/>
      <c r="D11" s="1"/>
      <c r="E11" s="1"/>
      <c r="F11" s="1"/>
      <c r="G11" s="1"/>
    </row>
    <row r="12" spans="1:7" x14ac:dyDescent="0.35">
      <c r="A12" s="1"/>
      <c r="B12" s="1"/>
      <c r="C12" s="1"/>
      <c r="D12" s="1"/>
      <c r="E12" s="1"/>
      <c r="F12" s="1"/>
      <c r="G12" s="1"/>
    </row>
    <row r="13" spans="1:7" x14ac:dyDescent="0.35">
      <c r="A13" s="289" t="s">
        <v>346</v>
      </c>
      <c r="B13" s="289"/>
      <c r="C13" s="289"/>
      <c r="D13" s="289"/>
      <c r="E13" s="289"/>
      <c r="F13" s="289"/>
      <c r="G13" s="289"/>
    </row>
    <row r="14" spans="1:7" x14ac:dyDescent="0.35">
      <c r="A14" s="142" t="s">
        <v>60</v>
      </c>
      <c r="B14" s="142" t="s">
        <v>61</v>
      </c>
      <c r="C14" s="142" t="s">
        <v>347</v>
      </c>
      <c r="D14" s="142" t="s">
        <v>20</v>
      </c>
      <c r="E14" s="142" t="s">
        <v>62</v>
      </c>
      <c r="F14" s="142" t="s">
        <v>348</v>
      </c>
      <c r="G14" s="142" t="s">
        <v>349</v>
      </c>
    </row>
    <row r="15" spans="1:7" ht="58" x14ac:dyDescent="0.35">
      <c r="A15" s="145" t="s">
        <v>63</v>
      </c>
      <c r="B15" s="188">
        <v>1.1499999999999999</v>
      </c>
      <c r="C15" s="189">
        <v>0.85</v>
      </c>
      <c r="D15" s="189">
        <v>0.25</v>
      </c>
      <c r="E15" s="190">
        <f>B15/(1+(1-D15)*C15)</f>
        <v>0.70229007633587781</v>
      </c>
      <c r="F15" s="191" t="s">
        <v>24</v>
      </c>
      <c r="G15" s="174" t="s">
        <v>350</v>
      </c>
    </row>
    <row r="16" spans="1:7" ht="58" x14ac:dyDescent="0.35">
      <c r="A16" s="55" t="s">
        <v>64</v>
      </c>
      <c r="B16" s="56">
        <v>0.95</v>
      </c>
      <c r="C16" s="57">
        <v>0.15</v>
      </c>
      <c r="D16" s="57">
        <v>0.21</v>
      </c>
      <c r="E16" s="58">
        <f>B16/(1+(1-D16)*C16)</f>
        <v>0.84935181046043806</v>
      </c>
      <c r="F16" s="59" t="s">
        <v>24</v>
      </c>
      <c r="G16" s="44" t="s">
        <v>350</v>
      </c>
    </row>
    <row r="17" spans="1:7" ht="58" x14ac:dyDescent="0.35">
      <c r="A17" s="146" t="s">
        <v>65</v>
      </c>
      <c r="B17" s="192">
        <v>1.3</v>
      </c>
      <c r="C17" s="193">
        <v>1.2</v>
      </c>
      <c r="D17" s="193">
        <v>0.21</v>
      </c>
      <c r="E17" s="194">
        <f>B17/(1+(1-D17)*C17)</f>
        <v>0.66735112936344976</v>
      </c>
      <c r="F17" s="195" t="s">
        <v>24</v>
      </c>
      <c r="G17" s="176" t="s">
        <v>350</v>
      </c>
    </row>
    <row r="18" spans="1:7" ht="58" x14ac:dyDescent="0.35">
      <c r="A18" s="55" t="s">
        <v>66</v>
      </c>
      <c r="B18" s="56">
        <v>1.4</v>
      </c>
      <c r="C18" s="57">
        <v>2</v>
      </c>
      <c r="D18" s="57">
        <v>0.26500000000000001</v>
      </c>
      <c r="E18" s="58">
        <f>B18/(1+(1-D18)*C18)</f>
        <v>0.5668016194331984</v>
      </c>
      <c r="F18" s="59" t="s">
        <v>24</v>
      </c>
      <c r="G18" s="44" t="s">
        <v>350</v>
      </c>
    </row>
    <row r="19" spans="1:7" ht="58" x14ac:dyDescent="0.35">
      <c r="A19" s="143" t="s">
        <v>67</v>
      </c>
      <c r="B19" s="196">
        <v>1.05</v>
      </c>
      <c r="C19" s="134">
        <v>0.9</v>
      </c>
      <c r="D19" s="134">
        <v>0.21</v>
      </c>
      <c r="E19" s="197">
        <f>B19/(1+(1-D19)*C19)</f>
        <v>0.61367621274108708</v>
      </c>
      <c r="F19" s="198" t="s">
        <v>24</v>
      </c>
      <c r="G19" s="199" t="s">
        <v>350</v>
      </c>
    </row>
    <row r="20" spans="1:7" x14ac:dyDescent="0.35">
      <c r="A20" s="1"/>
      <c r="B20" s="1"/>
      <c r="C20" s="1"/>
      <c r="D20" s="1"/>
      <c r="E20" s="1"/>
      <c r="F20" s="1"/>
      <c r="G20" s="1"/>
    </row>
    <row r="21" spans="1:7" x14ac:dyDescent="0.35">
      <c r="A21" s="31" t="s">
        <v>68</v>
      </c>
      <c r="B21" s="1"/>
      <c r="C21" s="1"/>
      <c r="D21" s="1"/>
      <c r="E21" s="60">
        <f>AVERAGE(E15:E19)</f>
        <v>0.67989416966681016</v>
      </c>
      <c r="F21" s="1" t="s">
        <v>73</v>
      </c>
      <c r="G21" s="1"/>
    </row>
    <row r="22" spans="1:7" x14ac:dyDescent="0.35">
      <c r="A22" s="31" t="s">
        <v>351</v>
      </c>
      <c r="B22" s="1"/>
      <c r="C22" s="1"/>
      <c r="D22" s="1"/>
      <c r="E22" s="61">
        <f>B8/B9</f>
        <v>0.53846153846153844</v>
      </c>
      <c r="F22" s="1" t="s">
        <v>73</v>
      </c>
      <c r="G22" s="1"/>
    </row>
    <row r="23" spans="1:7" x14ac:dyDescent="0.35">
      <c r="A23" s="31" t="s">
        <v>69</v>
      </c>
      <c r="B23" s="1"/>
      <c r="C23" s="1"/>
      <c r="D23" s="1"/>
      <c r="E23" s="60">
        <f>E21*(1+(1-B10)*E22)</f>
        <v>0.95860370963384078</v>
      </c>
      <c r="F23" s="1" t="s">
        <v>73</v>
      </c>
      <c r="G23" s="1"/>
    </row>
    <row r="24" spans="1:7" x14ac:dyDescent="0.35">
      <c r="A24" s="31" t="s">
        <v>70</v>
      </c>
      <c r="B24" s="1"/>
      <c r="C24" s="1"/>
      <c r="D24" s="1"/>
      <c r="E24" s="200">
        <f>B5+E23*B6+B7</f>
        <v>8.0448936917511454E-2</v>
      </c>
      <c r="F24" s="1" t="s">
        <v>73</v>
      </c>
      <c r="G24" s="1"/>
    </row>
    <row r="25" spans="1:7" x14ac:dyDescent="0.35">
      <c r="A25" s="1"/>
      <c r="B25" s="1"/>
      <c r="C25" s="1"/>
      <c r="D25" s="1"/>
      <c r="E25" s="1"/>
      <c r="F25" s="1"/>
      <c r="G25" s="1"/>
    </row>
    <row r="26" spans="1:7" x14ac:dyDescent="0.35">
      <c r="A26" s="289" t="s">
        <v>352</v>
      </c>
      <c r="B26" s="289"/>
      <c r="C26" s="289"/>
      <c r="D26" s="289"/>
      <c r="E26" s="289"/>
      <c r="F26" s="289"/>
      <c r="G26" s="289"/>
    </row>
    <row r="27" spans="1:7" x14ac:dyDescent="0.35">
      <c r="A27" s="31" t="s">
        <v>71</v>
      </c>
      <c r="B27" s="51">
        <v>4.2999999999999997E-2</v>
      </c>
      <c r="C27" s="320" t="s">
        <v>353</v>
      </c>
      <c r="D27" s="320"/>
      <c r="E27" s="320"/>
      <c r="F27" s="320"/>
      <c r="G27" s="320"/>
    </row>
    <row r="28" spans="1:7" x14ac:dyDescent="0.35">
      <c r="A28" s="31" t="s">
        <v>72</v>
      </c>
      <c r="B28" s="61">
        <f>B27*(1-B10)</f>
        <v>3.2735899999999998E-2</v>
      </c>
      <c r="C28" s="320" t="s">
        <v>354</v>
      </c>
      <c r="D28" s="320"/>
      <c r="E28" s="320"/>
      <c r="F28" s="320"/>
      <c r="G28" s="320"/>
    </row>
    <row r="29" spans="1:7" x14ac:dyDescent="0.35">
      <c r="A29" s="31" t="s">
        <v>74</v>
      </c>
      <c r="B29" s="61">
        <f>B9*E24+B8*B28</f>
        <v>6.3749373996382447E-2</v>
      </c>
      <c r="C29" s="320" t="s">
        <v>355</v>
      </c>
      <c r="D29" s="320"/>
      <c r="E29" s="320"/>
      <c r="F29" s="320"/>
      <c r="G29" s="320"/>
    </row>
    <row r="30" spans="1:7" ht="29" x14ac:dyDescent="0.35">
      <c r="A30" s="63" t="s">
        <v>75</v>
      </c>
      <c r="B30" s="201">
        <f>Assumptions!B7</f>
        <v>7.1999999999999995E-2</v>
      </c>
      <c r="C30" s="320" t="s">
        <v>362</v>
      </c>
      <c r="D30" s="320"/>
      <c r="E30" s="320"/>
      <c r="F30" s="320"/>
      <c r="G30" s="320"/>
    </row>
    <row r="31" spans="1:7" x14ac:dyDescent="0.35">
      <c r="A31" s="1"/>
      <c r="B31" s="1"/>
      <c r="C31" s="1"/>
      <c r="D31" s="1"/>
      <c r="E31" s="1"/>
      <c r="F31" s="1"/>
      <c r="G31" s="1"/>
    </row>
    <row r="32" spans="1:7" x14ac:dyDescent="0.35">
      <c r="A32" s="1"/>
      <c r="B32" s="1"/>
      <c r="C32" s="1"/>
      <c r="D32" s="1"/>
      <c r="E32" s="1"/>
      <c r="F32" s="1"/>
      <c r="G32" s="1"/>
    </row>
    <row r="33" spans="1:7" x14ac:dyDescent="0.35">
      <c r="A33" s="289" t="s">
        <v>356</v>
      </c>
      <c r="B33" s="289"/>
      <c r="C33" s="289"/>
      <c r="D33" s="289"/>
      <c r="E33" s="289"/>
      <c r="F33" s="289"/>
      <c r="G33" s="289"/>
    </row>
    <row r="34" spans="1:7" x14ac:dyDescent="0.35">
      <c r="A34" s="30" t="s">
        <v>357</v>
      </c>
      <c r="B34" s="29">
        <f>B9</f>
        <v>0.65</v>
      </c>
      <c r="C34" s="320" t="str">
        <f>"Equity contribution to WACC: "&amp;TEXT(B34*B35,"0.00%")</f>
        <v>Equity contribution to WACC: 5.23%</v>
      </c>
      <c r="D34" s="320"/>
      <c r="E34" s="320"/>
      <c r="F34" s="320"/>
      <c r="G34" s="320"/>
    </row>
    <row r="35" spans="1:7" x14ac:dyDescent="0.35">
      <c r="A35" s="30" t="s">
        <v>70</v>
      </c>
      <c r="B35" s="29">
        <f>E24</f>
        <v>8.0448936917511454E-2</v>
      </c>
      <c r="C35" s="320" t="s">
        <v>359</v>
      </c>
      <c r="D35" s="320"/>
      <c r="E35" s="320"/>
      <c r="F35" s="320"/>
      <c r="G35" s="320"/>
    </row>
    <row r="36" spans="1:7" x14ac:dyDescent="0.35">
      <c r="A36" s="30" t="s">
        <v>358</v>
      </c>
      <c r="B36" s="29">
        <f>B8</f>
        <v>0.35</v>
      </c>
      <c r="C36" s="320" t="str">
        <f>"Debt contribution to WACC: "&amp;TEXT(B36*B37,"0.00%")</f>
        <v>Debt contribution to WACC: 1.15%</v>
      </c>
      <c r="D36" s="320"/>
      <c r="E36" s="320"/>
      <c r="F36" s="320"/>
      <c r="G36" s="320"/>
    </row>
    <row r="37" spans="1:7" x14ac:dyDescent="0.35">
      <c r="A37" s="30" t="s">
        <v>72</v>
      </c>
      <c r="B37" s="29">
        <f>B28</f>
        <v>3.2735899999999998E-2</v>
      </c>
      <c r="C37" s="320" t="s">
        <v>360</v>
      </c>
      <c r="D37" s="320"/>
      <c r="E37" s="320"/>
      <c r="F37" s="320"/>
      <c r="G37" s="320"/>
    </row>
    <row r="38" spans="1:7" x14ac:dyDescent="0.35">
      <c r="A38" s="1"/>
      <c r="B38" s="1"/>
      <c r="C38" s="2"/>
      <c r="D38" s="2"/>
      <c r="E38" s="2"/>
      <c r="F38" s="2"/>
      <c r="G38" s="2"/>
    </row>
    <row r="39" spans="1:7" x14ac:dyDescent="0.35">
      <c r="A39" s="289" t="s">
        <v>361</v>
      </c>
      <c r="B39" s="289"/>
      <c r="C39" s="264"/>
      <c r="D39" s="264"/>
      <c r="E39" s="264"/>
      <c r="F39" s="264"/>
      <c r="G39" s="264"/>
    </row>
    <row r="40" spans="1:7" x14ac:dyDescent="0.35">
      <c r="A40" s="171" t="s">
        <v>363</v>
      </c>
      <c r="B40" s="171"/>
      <c r="C40" s="322" t="s">
        <v>367</v>
      </c>
      <c r="D40" s="322"/>
      <c r="E40" s="322"/>
      <c r="F40" s="322"/>
      <c r="G40" s="322"/>
    </row>
    <row r="41" spans="1:7" x14ac:dyDescent="0.35">
      <c r="A41" s="171" t="s">
        <v>364</v>
      </c>
      <c r="B41" s="171"/>
      <c r="C41" s="322" t="s">
        <v>368</v>
      </c>
      <c r="D41" s="322"/>
      <c r="E41" s="322"/>
      <c r="F41" s="322"/>
      <c r="G41" s="322"/>
    </row>
    <row r="42" spans="1:7" x14ac:dyDescent="0.35">
      <c r="A42" s="171" t="s">
        <v>365</v>
      </c>
      <c r="B42" s="171"/>
      <c r="C42" s="322" t="s">
        <v>761</v>
      </c>
      <c r="D42" s="322"/>
      <c r="E42" s="322"/>
      <c r="F42" s="322"/>
      <c r="G42" s="322"/>
    </row>
    <row r="43" spans="1:7" x14ac:dyDescent="0.35">
      <c r="A43" s="171" t="s">
        <v>366</v>
      </c>
      <c r="B43" s="171"/>
      <c r="C43" s="322" t="s">
        <v>384</v>
      </c>
      <c r="D43" s="322"/>
      <c r="E43" s="322"/>
      <c r="F43" s="322"/>
      <c r="G43" s="322"/>
    </row>
    <row r="44" spans="1:7" x14ac:dyDescent="0.35">
      <c r="A44" s="1"/>
      <c r="B44" s="1"/>
      <c r="C44" s="1"/>
      <c r="D44" s="1"/>
      <c r="E44" s="1"/>
      <c r="F44" s="1"/>
      <c r="G44" s="1"/>
    </row>
    <row r="45" spans="1:7" x14ac:dyDescent="0.35">
      <c r="A45" s="1"/>
      <c r="B45" s="1"/>
      <c r="C45" s="1"/>
      <c r="D45" s="1"/>
      <c r="E45" s="1"/>
      <c r="F45" s="1"/>
      <c r="G45" s="1"/>
    </row>
    <row r="46" spans="1:7" x14ac:dyDescent="0.35">
      <c r="A46" s="289" t="s">
        <v>369</v>
      </c>
      <c r="B46" s="289"/>
      <c r="C46" s="289"/>
      <c r="D46" s="289"/>
      <c r="E46" s="289"/>
      <c r="F46" s="289"/>
      <c r="G46" s="289"/>
    </row>
    <row r="47" spans="1:7" x14ac:dyDescent="0.35">
      <c r="A47" s="142" t="s">
        <v>201</v>
      </c>
      <c r="B47" s="142" t="s">
        <v>202</v>
      </c>
      <c r="C47" s="296" t="s">
        <v>329</v>
      </c>
      <c r="D47" s="296"/>
      <c r="E47" s="296"/>
      <c r="F47" s="296"/>
      <c r="G47" s="296"/>
    </row>
    <row r="48" spans="1:7" ht="29" x14ac:dyDescent="0.35">
      <c r="A48" s="158" t="s">
        <v>370</v>
      </c>
      <c r="B48" s="184" t="str">
        <f>IF(ABS(B8+B9-1)&lt;0.0001,"PASS","REVIEW")</f>
        <v>PASS</v>
      </c>
      <c r="C48" s="185" t="s">
        <v>375</v>
      </c>
      <c r="D48" s="185"/>
      <c r="E48" s="202" t="s">
        <v>385</v>
      </c>
      <c r="F48" s="202" t="s">
        <v>386</v>
      </c>
      <c r="G48" s="202" t="s">
        <v>31</v>
      </c>
    </row>
    <row r="49" spans="1:7" ht="29" x14ac:dyDescent="0.35">
      <c r="A49" s="34" t="s">
        <v>371</v>
      </c>
      <c r="B49" s="49" t="str">
        <f>IF(COUNT(E15:E19)=5,"PASS","REVIEW")</f>
        <v>PASS</v>
      </c>
      <c r="C49" s="50" t="s">
        <v>376</v>
      </c>
      <c r="D49" s="50"/>
      <c r="E49" s="65" t="s">
        <v>387</v>
      </c>
      <c r="F49" s="64">
        <v>46252</v>
      </c>
      <c r="G49" s="62" t="s">
        <v>388</v>
      </c>
    </row>
    <row r="50" spans="1:7" ht="29" x14ac:dyDescent="0.35">
      <c r="A50" s="162" t="s">
        <v>372</v>
      </c>
      <c r="B50" s="147" t="str">
        <f>IF(AND(B28&gt;0,B28&lt;B27),"PASS","REVIEW")</f>
        <v>PASS</v>
      </c>
      <c r="C50" s="186" t="s">
        <v>377</v>
      </c>
      <c r="D50" s="186"/>
      <c r="E50" s="203" t="s">
        <v>56</v>
      </c>
      <c r="F50" s="204">
        <v>46023</v>
      </c>
      <c r="G50" s="148" t="s">
        <v>389</v>
      </c>
    </row>
    <row r="51" spans="1:7" ht="29" x14ac:dyDescent="0.35">
      <c r="A51" s="260" t="s">
        <v>373</v>
      </c>
      <c r="B51" s="49" t="str">
        <f>IF(B30&gt;Assumptions!B8,"PASS","REVIEW")</f>
        <v>PASS</v>
      </c>
      <c r="C51" s="50" t="s">
        <v>378</v>
      </c>
      <c r="D51" s="50"/>
      <c r="E51" s="66" t="s">
        <v>390</v>
      </c>
      <c r="F51" s="50" t="s">
        <v>24</v>
      </c>
      <c r="G51" s="62" t="s">
        <v>391</v>
      </c>
    </row>
    <row r="52" spans="1:7" ht="29" x14ac:dyDescent="0.35">
      <c r="A52" s="261" t="s">
        <v>374</v>
      </c>
      <c r="B52" s="147" t="str">
        <f>IF(AND(B30&gt;=Sensitivity!A6,B30&lt;=Sensitivity!A10),"PASS","REVIEW")</f>
        <v>PASS</v>
      </c>
      <c r="C52" s="186" t="s">
        <v>379</v>
      </c>
      <c r="D52" s="186"/>
      <c r="E52" s="205" t="s">
        <v>71</v>
      </c>
      <c r="F52" s="186" t="s">
        <v>24</v>
      </c>
      <c r="G52" s="148" t="s">
        <v>392</v>
      </c>
    </row>
    <row r="53" spans="1:7" x14ac:dyDescent="0.35">
      <c r="A53" s="206" t="s">
        <v>393</v>
      </c>
      <c r="B53" s="144" t="str">
        <f>IF(AND(B5=2.99%,B6=4.23%),"PASS","REVIEW")</f>
        <v>PASS</v>
      </c>
      <c r="C53" s="143" t="s">
        <v>394</v>
      </c>
      <c r="D53" s="143"/>
      <c r="E53" s="143"/>
      <c r="F53" s="143"/>
      <c r="G53" s="143" t="s">
        <v>395</v>
      </c>
    </row>
    <row r="54" spans="1:7" x14ac:dyDescent="0.35">
      <c r="A54" s="1"/>
      <c r="B54" s="1"/>
      <c r="C54" s="1"/>
      <c r="D54" s="1"/>
      <c r="E54" s="1"/>
      <c r="F54" s="1"/>
      <c r="G54" s="1"/>
    </row>
    <row r="55" spans="1:7" x14ac:dyDescent="0.35">
      <c r="A55" s="289" t="s">
        <v>380</v>
      </c>
      <c r="B55" s="289"/>
      <c r="C55" s="289"/>
      <c r="D55" s="289"/>
      <c r="E55" s="289"/>
      <c r="F55" s="289"/>
      <c r="G55" s="289"/>
    </row>
    <row r="56" spans="1:7" ht="29" x14ac:dyDescent="0.35">
      <c r="A56" s="114" t="s">
        <v>396</v>
      </c>
      <c r="B56" s="321" t="s">
        <v>381</v>
      </c>
      <c r="C56" s="321"/>
      <c r="D56" s="321"/>
      <c r="E56" s="321"/>
      <c r="F56" s="321"/>
      <c r="G56" s="321"/>
    </row>
    <row r="57" spans="1:7" ht="29" x14ac:dyDescent="0.35">
      <c r="A57" s="114" t="s">
        <v>762</v>
      </c>
      <c r="B57" s="321" t="s">
        <v>763</v>
      </c>
      <c r="C57" s="321"/>
      <c r="D57" s="321"/>
      <c r="E57" s="321"/>
      <c r="F57" s="321"/>
      <c r="G57" s="321"/>
    </row>
    <row r="58" spans="1:7" ht="43.5" x14ac:dyDescent="0.35">
      <c r="A58" s="114" t="s">
        <v>764</v>
      </c>
      <c r="B58" s="321" t="s">
        <v>765</v>
      </c>
      <c r="C58" s="321"/>
      <c r="D58" s="321"/>
      <c r="E58" s="321"/>
      <c r="F58" s="321"/>
      <c r="G58" s="321"/>
    </row>
    <row r="59" spans="1:7" ht="29" x14ac:dyDescent="0.35">
      <c r="A59" s="114" t="s">
        <v>397</v>
      </c>
      <c r="B59" s="321" t="s">
        <v>382</v>
      </c>
      <c r="C59" s="321"/>
      <c r="D59" s="321"/>
      <c r="E59" s="321"/>
      <c r="F59" s="321"/>
      <c r="G59" s="321"/>
    </row>
    <row r="60" spans="1:7" ht="19.5" customHeight="1" x14ac:dyDescent="0.35"/>
    <row r="61" spans="1:7" ht="19.5" customHeight="1" x14ac:dyDescent="0.35"/>
    <row r="62" spans="1:7" ht="19.5" customHeight="1" x14ac:dyDescent="0.35"/>
    <row r="63" spans="1:7" ht="19.5" customHeight="1" x14ac:dyDescent="0.35"/>
    <row r="64" spans="1:7" ht="19.5" customHeight="1" x14ac:dyDescent="0.35"/>
    <row r="65" ht="19.5" customHeight="1" x14ac:dyDescent="0.35"/>
    <row r="66" ht="19.5" customHeight="1" x14ac:dyDescent="0.35"/>
    <row r="67" ht="19.5" customHeight="1" x14ac:dyDescent="0.35"/>
    <row r="68" ht="19.5" customHeight="1" x14ac:dyDescent="0.35"/>
    <row r="69" ht="19.5" customHeight="1" x14ac:dyDescent="0.35"/>
    <row r="70" ht="19.5" customHeight="1" x14ac:dyDescent="0.35"/>
    <row r="71" ht="19.5" customHeight="1" x14ac:dyDescent="0.35"/>
    <row r="72" ht="19.5" customHeight="1" x14ac:dyDescent="0.35"/>
    <row r="73" ht="19.5" customHeight="1" x14ac:dyDescent="0.35"/>
    <row r="74" ht="19.5" customHeight="1" x14ac:dyDescent="0.35"/>
    <row r="75" ht="19.5" customHeight="1" x14ac:dyDescent="0.35"/>
    <row r="76" ht="19.5" customHeight="1" x14ac:dyDescent="0.35"/>
    <row r="77" ht="19.5" customHeight="1" x14ac:dyDescent="0.35"/>
    <row r="78" ht="19.5" customHeight="1" x14ac:dyDescent="0.35"/>
  </sheetData>
  <mergeCells count="33">
    <mergeCell ref="B59:G59"/>
    <mergeCell ref="C37:G37"/>
    <mergeCell ref="C40:G40"/>
    <mergeCell ref="C41:G41"/>
    <mergeCell ref="C42:G42"/>
    <mergeCell ref="C43:G43"/>
    <mergeCell ref="C47:G47"/>
    <mergeCell ref="A55:G55"/>
    <mergeCell ref="B56:G56"/>
    <mergeCell ref="B57:G57"/>
    <mergeCell ref="B58:G58"/>
    <mergeCell ref="A33:G33"/>
    <mergeCell ref="A39:G39"/>
    <mergeCell ref="A46:G46"/>
    <mergeCell ref="C5:G5"/>
    <mergeCell ref="C6:G6"/>
    <mergeCell ref="C7:G7"/>
    <mergeCell ref="C8:G8"/>
    <mergeCell ref="C9:G9"/>
    <mergeCell ref="C10:G10"/>
    <mergeCell ref="C27:G27"/>
    <mergeCell ref="C28:G28"/>
    <mergeCell ref="C29:G29"/>
    <mergeCell ref="C30:G30"/>
    <mergeCell ref="C34:G34"/>
    <mergeCell ref="C35:G35"/>
    <mergeCell ref="C36:G36"/>
    <mergeCell ref="A13:G13"/>
    <mergeCell ref="A1:G1"/>
    <mergeCell ref="A2:G2"/>
    <mergeCell ref="A4:G4"/>
    <mergeCell ref="A26:G26"/>
    <mergeCell ref="C3:G3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F190D-6D02-48BF-8B5C-C76E3C927AE5}">
  <sheetPr>
    <tabColor rgb="FFED7D31"/>
  </sheetPr>
  <dimension ref="A1:G80"/>
  <sheetViews>
    <sheetView showGridLines="0" topLeftCell="A18" workbookViewId="0">
      <selection activeCell="I13" sqref="I13"/>
    </sheetView>
  </sheetViews>
  <sheetFormatPr defaultColWidth="8.7265625" defaultRowHeight="14.5" x14ac:dyDescent="0.35"/>
  <cols>
    <col min="1" max="1" width="30.90625" customWidth="1"/>
    <col min="2" max="2" width="15.7265625" customWidth="1"/>
    <col min="3" max="3" width="15.54296875" customWidth="1"/>
    <col min="4" max="7" width="13.6328125" customWidth="1"/>
    <col min="8" max="14" width="14" customWidth="1"/>
  </cols>
  <sheetData>
    <row r="1" spans="1:7" ht="23.5" x14ac:dyDescent="0.55000000000000004">
      <c r="A1" s="293" t="s">
        <v>398</v>
      </c>
      <c r="B1" s="293"/>
      <c r="C1" s="293"/>
      <c r="D1" s="293"/>
      <c r="E1" s="293"/>
      <c r="F1" s="293"/>
      <c r="G1" s="293"/>
    </row>
    <row r="2" spans="1:7" x14ac:dyDescent="0.35">
      <c r="A2" s="294" t="s">
        <v>399</v>
      </c>
      <c r="B2" s="294"/>
      <c r="C2" s="294"/>
      <c r="D2" s="294"/>
      <c r="E2" s="294"/>
      <c r="F2" s="294"/>
      <c r="G2" s="294"/>
    </row>
    <row r="3" spans="1:7" x14ac:dyDescent="0.35">
      <c r="A3" s="1"/>
      <c r="B3" s="1"/>
      <c r="C3" s="1"/>
      <c r="D3" s="1"/>
      <c r="E3" s="1"/>
      <c r="F3" s="1"/>
      <c r="G3" s="1"/>
    </row>
    <row r="4" spans="1:7" x14ac:dyDescent="0.35">
      <c r="A4" s="289" t="s">
        <v>400</v>
      </c>
      <c r="B4" s="289"/>
      <c r="C4" s="289"/>
      <c r="D4" s="289"/>
      <c r="E4" s="289"/>
      <c r="F4" s="289"/>
      <c r="G4" s="289"/>
    </row>
    <row r="5" spans="1:7" x14ac:dyDescent="0.35">
      <c r="A5" s="158" t="s">
        <v>55</v>
      </c>
      <c r="B5" s="207">
        <f>Assumptions!B7</f>
        <v>7.1999999999999995E-2</v>
      </c>
      <c r="C5" s="315" t="s">
        <v>407</v>
      </c>
      <c r="D5" s="315"/>
      <c r="E5" s="315"/>
      <c r="F5" s="315"/>
      <c r="G5" s="315"/>
    </row>
    <row r="6" spans="1:7" x14ac:dyDescent="0.35">
      <c r="A6" s="34" t="s">
        <v>77</v>
      </c>
      <c r="B6" s="67">
        <f>Assumptions!B8</f>
        <v>1.4999999999999999E-2</v>
      </c>
      <c r="C6" s="307" t="s">
        <v>408</v>
      </c>
      <c r="D6" s="307"/>
      <c r="E6" s="307"/>
      <c r="F6" s="307"/>
      <c r="G6" s="307"/>
    </row>
    <row r="7" spans="1:7" x14ac:dyDescent="0.35">
      <c r="A7" s="162" t="s">
        <v>401</v>
      </c>
      <c r="B7" s="208">
        <f>SUM(B23:F23)</f>
        <v>2345.2706785248056</v>
      </c>
      <c r="C7" s="316" t="s">
        <v>409</v>
      </c>
      <c r="D7" s="316"/>
      <c r="E7" s="316"/>
      <c r="F7" s="316"/>
      <c r="G7" s="316"/>
    </row>
    <row r="8" spans="1:7" x14ac:dyDescent="0.35">
      <c r="A8" s="34" t="s">
        <v>402</v>
      </c>
      <c r="B8" s="68">
        <f>B30</f>
        <v>9407.3833544798526</v>
      </c>
      <c r="C8" s="307" t="s">
        <v>410</v>
      </c>
      <c r="D8" s="307"/>
      <c r="E8" s="307"/>
      <c r="F8" s="307"/>
      <c r="G8" s="307"/>
    </row>
    <row r="9" spans="1:7" x14ac:dyDescent="0.35">
      <c r="A9" s="172" t="s">
        <v>403</v>
      </c>
      <c r="B9" s="209">
        <f>B7+B8</f>
        <v>11752.654033004659</v>
      </c>
      <c r="C9" s="323" t="s">
        <v>411</v>
      </c>
      <c r="D9" s="323"/>
      <c r="E9" s="323"/>
      <c r="F9" s="323"/>
      <c r="G9" s="323"/>
    </row>
    <row r="10" spans="1:7" x14ac:dyDescent="0.35">
      <c r="A10" s="34" t="s">
        <v>404</v>
      </c>
      <c r="B10" s="68">
        <f>Assumptions!B24*Assumptions!B25</f>
        <v>4664.3999999999996</v>
      </c>
      <c r="C10" s="307" t="s">
        <v>412</v>
      </c>
      <c r="D10" s="307"/>
      <c r="E10" s="307"/>
      <c r="F10" s="307"/>
      <c r="G10" s="307"/>
    </row>
    <row r="11" spans="1:7" x14ac:dyDescent="0.35">
      <c r="A11" s="162" t="s">
        <v>405</v>
      </c>
      <c r="B11" s="370">
        <f>Assumptions!B26</f>
        <v>91</v>
      </c>
      <c r="C11" s="316" t="s">
        <v>813</v>
      </c>
      <c r="D11" s="316"/>
      <c r="E11" s="316"/>
      <c r="F11" s="316"/>
      <c r="G11" s="316"/>
    </row>
    <row r="12" spans="1:7" x14ac:dyDescent="0.35">
      <c r="A12" s="172" t="s">
        <v>406</v>
      </c>
      <c r="B12" s="371">
        <f>B9-B10-B11</f>
        <v>6997.2540330046595</v>
      </c>
      <c r="C12" s="323" t="s">
        <v>814</v>
      </c>
      <c r="D12" s="323"/>
      <c r="E12" s="323"/>
      <c r="F12" s="323"/>
      <c r="G12" s="323"/>
    </row>
    <row r="13" spans="1:7" x14ac:dyDescent="0.35">
      <c r="A13" s="162" t="s">
        <v>791</v>
      </c>
      <c r="B13" s="372">
        <f>Assumptions!B27</f>
        <v>417.00622079999999</v>
      </c>
      <c r="C13" s="316" t="s">
        <v>815</v>
      </c>
      <c r="D13" s="316"/>
      <c r="E13" s="316"/>
      <c r="F13" s="316"/>
      <c r="G13" s="316"/>
    </row>
    <row r="14" spans="1:7" ht="31.5" customHeight="1" x14ac:dyDescent="0.45">
      <c r="A14" s="210" t="s">
        <v>78</v>
      </c>
      <c r="B14" s="211">
        <f>B12/B13</f>
        <v>16.779735370807831</v>
      </c>
      <c r="C14" s="324" t="s">
        <v>816</v>
      </c>
      <c r="D14" s="324"/>
      <c r="E14" s="324"/>
      <c r="F14" s="324"/>
      <c r="G14" s="324"/>
    </row>
    <row r="15" spans="1:7" x14ac:dyDescent="0.35">
      <c r="A15" s="289" t="s">
        <v>807</v>
      </c>
      <c r="B15" s="289"/>
      <c r="C15" s="289"/>
      <c r="D15" s="289"/>
      <c r="E15" s="289"/>
      <c r="F15" s="289"/>
      <c r="G15" s="289"/>
    </row>
    <row r="16" spans="1:7" x14ac:dyDescent="0.35">
      <c r="A16" s="357" t="s">
        <v>808</v>
      </c>
      <c r="B16" s="357" t="s">
        <v>809</v>
      </c>
      <c r="C16" s="357" t="s">
        <v>810</v>
      </c>
      <c r="D16" s="357" t="s">
        <v>811</v>
      </c>
      <c r="E16" s="1"/>
      <c r="F16" s="1"/>
      <c r="G16" s="1"/>
    </row>
    <row r="17" spans="1:7" ht="18.5" x14ac:dyDescent="0.45">
      <c r="A17" s="369">
        <f>B9</f>
        <v>11752.654033004659</v>
      </c>
      <c r="B17" s="369">
        <f>-B10</f>
        <v>-4664.3999999999996</v>
      </c>
      <c r="C17" s="369">
        <f>-B11</f>
        <v>-91</v>
      </c>
      <c r="D17" s="369">
        <f>B12</f>
        <v>6997.2540330046595</v>
      </c>
      <c r="E17" s="1"/>
      <c r="F17" s="1"/>
      <c r="G17" s="1"/>
    </row>
    <row r="18" spans="1:7" x14ac:dyDescent="0.35">
      <c r="A18" s="358" t="s">
        <v>812</v>
      </c>
      <c r="B18" s="358"/>
      <c r="C18" s="358"/>
      <c r="D18" s="358"/>
      <c r="E18" s="358"/>
      <c r="F18" s="358"/>
      <c r="G18" s="358"/>
    </row>
    <row r="19" spans="1:7" x14ac:dyDescent="0.35">
      <c r="A19" s="289" t="s">
        <v>413</v>
      </c>
      <c r="B19" s="289"/>
      <c r="C19" s="289"/>
      <c r="D19" s="289"/>
      <c r="E19" s="289"/>
      <c r="F19" s="289"/>
      <c r="G19" s="289"/>
    </row>
    <row r="20" spans="1:7" x14ac:dyDescent="0.35">
      <c r="A20" s="142" t="s">
        <v>26</v>
      </c>
      <c r="B20" s="142" t="s">
        <v>11</v>
      </c>
      <c r="C20" s="142" t="s">
        <v>12</v>
      </c>
      <c r="D20" s="142" t="s">
        <v>13</v>
      </c>
      <c r="E20" s="142" t="s">
        <v>14</v>
      </c>
      <c r="F20" s="142" t="s">
        <v>15</v>
      </c>
      <c r="G20" s="142" t="s">
        <v>414</v>
      </c>
    </row>
    <row r="21" spans="1:7" ht="29" x14ac:dyDescent="0.35">
      <c r="A21" s="212" t="s">
        <v>54</v>
      </c>
      <c r="B21" s="213">
        <f>Projections!B18</f>
        <v>366.34434450000003</v>
      </c>
      <c r="C21" s="213">
        <f>Projections!C18</f>
        <v>513.24563282999986</v>
      </c>
      <c r="D21" s="213">
        <f>Projections!D18</f>
        <v>619.31586366719966</v>
      </c>
      <c r="E21" s="213">
        <f>Projections!E18</f>
        <v>694.51046647271619</v>
      </c>
      <c r="F21" s="213">
        <f>Projections!F18</f>
        <v>747.91386140034285</v>
      </c>
      <c r="G21" s="174" t="s">
        <v>415</v>
      </c>
    </row>
    <row r="22" spans="1:7" ht="15" thickBot="1" x14ac:dyDescent="0.4">
      <c r="A22" s="69" t="s">
        <v>79</v>
      </c>
      <c r="B22" s="70">
        <f>1/(1+$B$5)^1</f>
        <v>0.93283582089552231</v>
      </c>
      <c r="C22" s="70">
        <f>1/(1+$B$5)^2</f>
        <v>0.87018266874582295</v>
      </c>
      <c r="D22" s="70">
        <f>1/(1+$B$5)^3</f>
        <v>0.81173756412856624</v>
      </c>
      <c r="E22" s="70">
        <f>1/(1+$B$5)^4</f>
        <v>0.75721787698560261</v>
      </c>
      <c r="F22" s="70">
        <f>1/(1+$B$5)^5</f>
        <v>0.7063599598746293</v>
      </c>
      <c r="G22" s="44" t="s">
        <v>416</v>
      </c>
    </row>
    <row r="23" spans="1:7" ht="15" thickTop="1" x14ac:dyDescent="0.35">
      <c r="A23" s="214" t="s">
        <v>80</v>
      </c>
      <c r="B23" s="215">
        <f>B21*B22</f>
        <v>341.73912733208954</v>
      </c>
      <c r="C23" s="215">
        <f>C21*C22</f>
        <v>446.61745449814805</v>
      </c>
      <c r="D23" s="215">
        <f>D21*D22</f>
        <v>502.72195059939185</v>
      </c>
      <c r="E23" s="215">
        <f>E21*E22</f>
        <v>525.89574096675074</v>
      </c>
      <c r="F23" s="215">
        <f>F21*F22</f>
        <v>528.29640512842525</v>
      </c>
      <c r="G23" s="216" t="s">
        <v>417</v>
      </c>
    </row>
    <row r="24" spans="1:7" x14ac:dyDescent="0.35">
      <c r="A24" s="1"/>
      <c r="B24" s="1"/>
      <c r="C24" s="1"/>
      <c r="D24" s="1"/>
      <c r="E24" s="1"/>
      <c r="F24" s="1"/>
      <c r="G24" s="1"/>
    </row>
    <row r="25" spans="1:7" x14ac:dyDescent="0.35">
      <c r="A25" s="1"/>
      <c r="B25" s="1"/>
      <c r="C25" s="1"/>
      <c r="D25" s="1"/>
      <c r="E25" s="1"/>
      <c r="F25" s="1"/>
      <c r="G25" s="1"/>
    </row>
    <row r="26" spans="1:7" x14ac:dyDescent="0.35">
      <c r="A26" s="289" t="s">
        <v>418</v>
      </c>
      <c r="B26" s="289"/>
      <c r="C26" s="289"/>
      <c r="D26" s="289"/>
      <c r="E26" s="289"/>
      <c r="F26" s="289"/>
      <c r="G26" s="289"/>
    </row>
    <row r="27" spans="1:7" x14ac:dyDescent="0.35">
      <c r="A27" s="158" t="s">
        <v>81</v>
      </c>
      <c r="B27" s="217">
        <f>F21*(1+$B$6)</f>
        <v>759.13256932134789</v>
      </c>
      <c r="C27" s="317" t="s">
        <v>422</v>
      </c>
      <c r="D27" s="317"/>
      <c r="E27" s="317"/>
      <c r="F27" s="317"/>
      <c r="G27" s="317"/>
    </row>
    <row r="28" spans="1:7" x14ac:dyDescent="0.35">
      <c r="A28" s="34" t="s">
        <v>419</v>
      </c>
      <c r="B28" s="71">
        <f>B27/($B$5-$B$6)</f>
        <v>13318.115251251718</v>
      </c>
      <c r="C28" s="318" t="s">
        <v>423</v>
      </c>
      <c r="D28" s="318"/>
      <c r="E28" s="318"/>
      <c r="F28" s="318"/>
      <c r="G28" s="318"/>
    </row>
    <row r="29" spans="1:7" x14ac:dyDescent="0.35">
      <c r="A29" s="162" t="s">
        <v>420</v>
      </c>
      <c r="B29" s="218">
        <f>F22</f>
        <v>0.7063599598746293</v>
      </c>
      <c r="C29" s="319" t="s">
        <v>424</v>
      </c>
      <c r="D29" s="319"/>
      <c r="E29" s="319"/>
      <c r="F29" s="319"/>
      <c r="G29" s="319"/>
    </row>
    <row r="30" spans="1:7" x14ac:dyDescent="0.35">
      <c r="A30" s="34" t="s">
        <v>402</v>
      </c>
      <c r="B30" s="71">
        <f>B28*B29</f>
        <v>9407.3833544798526</v>
      </c>
      <c r="C30" s="318" t="s">
        <v>425</v>
      </c>
      <c r="D30" s="318"/>
      <c r="E30" s="318"/>
      <c r="F30" s="318"/>
      <c r="G30" s="318"/>
    </row>
    <row r="31" spans="1:7" x14ac:dyDescent="0.35">
      <c r="A31" s="210" t="s">
        <v>421</v>
      </c>
      <c r="B31" s="219">
        <f>B30/B9</f>
        <v>0.80044756937976336</v>
      </c>
      <c r="C31" s="325" t="s">
        <v>426</v>
      </c>
      <c r="D31" s="325"/>
      <c r="E31" s="325"/>
      <c r="F31" s="325"/>
      <c r="G31" s="325"/>
    </row>
    <row r="32" spans="1:7" x14ac:dyDescent="0.35">
      <c r="A32" s="1"/>
      <c r="B32" s="1"/>
      <c r="C32" s="1"/>
      <c r="D32" s="1"/>
      <c r="E32" s="1"/>
      <c r="F32" s="1"/>
      <c r="G32" s="1"/>
    </row>
    <row r="33" spans="1:7" x14ac:dyDescent="0.35">
      <c r="A33" s="1"/>
      <c r="B33" s="1"/>
      <c r="C33" s="1"/>
      <c r="D33" s="1"/>
      <c r="E33" s="1"/>
      <c r="F33" s="1"/>
      <c r="G33" s="1"/>
    </row>
    <row r="34" spans="1:7" x14ac:dyDescent="0.35">
      <c r="A34" s="289" t="s">
        <v>427</v>
      </c>
      <c r="B34" s="289"/>
      <c r="C34" s="289"/>
      <c r="D34" s="289"/>
      <c r="E34" s="289"/>
      <c r="F34" s="289"/>
      <c r="G34" s="289"/>
    </row>
    <row r="35" spans="1:7" x14ac:dyDescent="0.35">
      <c r="A35" s="142" t="s">
        <v>428</v>
      </c>
      <c r="B35" s="142" t="s">
        <v>179</v>
      </c>
      <c r="C35" s="296" t="s">
        <v>204</v>
      </c>
      <c r="D35" s="296"/>
      <c r="E35" s="296"/>
      <c r="F35" s="296"/>
      <c r="G35" s="296"/>
    </row>
    <row r="36" spans="1:7" ht="26.5" customHeight="1" x14ac:dyDescent="0.35">
      <c r="A36" s="158" t="s">
        <v>429</v>
      </c>
      <c r="B36" s="220">
        <f>B7/B9</f>
        <v>0.19955243062023656</v>
      </c>
      <c r="C36" s="381" t="s">
        <v>433</v>
      </c>
      <c r="D36" s="381"/>
      <c r="E36" s="381"/>
      <c r="F36" s="381"/>
      <c r="G36" s="381"/>
    </row>
    <row r="37" spans="1:7" ht="29" customHeight="1" x14ac:dyDescent="0.35">
      <c r="A37" s="34" t="s">
        <v>430</v>
      </c>
      <c r="B37" s="73">
        <f>B8/B9</f>
        <v>0.80044756937976336</v>
      </c>
      <c r="C37" s="382" t="s">
        <v>434</v>
      </c>
      <c r="D37" s="382"/>
      <c r="E37" s="382"/>
      <c r="F37" s="382"/>
      <c r="G37" s="382"/>
    </row>
    <row r="38" spans="1:7" ht="28.5" customHeight="1" x14ac:dyDescent="0.35">
      <c r="A38" s="162" t="s">
        <v>431</v>
      </c>
      <c r="B38" s="221">
        <f>(B10+B11)/B9</f>
        <v>0.40462349922371055</v>
      </c>
      <c r="C38" s="383" t="s">
        <v>435</v>
      </c>
      <c r="D38" s="383"/>
      <c r="E38" s="383"/>
      <c r="F38" s="383"/>
      <c r="G38" s="383"/>
    </row>
    <row r="39" spans="1:7" ht="27" customHeight="1" x14ac:dyDescent="0.35">
      <c r="A39" s="32" t="s">
        <v>432</v>
      </c>
      <c r="B39" s="72">
        <f>B5-B6</f>
        <v>5.6999999999999995E-2</v>
      </c>
      <c r="C39" s="382" t="s">
        <v>436</v>
      </c>
      <c r="D39" s="382"/>
      <c r="E39" s="382"/>
      <c r="F39" s="382"/>
      <c r="G39" s="382"/>
    </row>
    <row r="40" spans="1:7" x14ac:dyDescent="0.35">
      <c r="A40" s="1"/>
      <c r="B40" s="1"/>
      <c r="C40" s="1"/>
      <c r="D40" s="1"/>
      <c r="E40" s="1"/>
      <c r="F40" s="1"/>
      <c r="G40" s="1"/>
    </row>
    <row r="41" spans="1:7" x14ac:dyDescent="0.35">
      <c r="A41" s="289" t="s">
        <v>437</v>
      </c>
      <c r="B41" s="289"/>
      <c r="C41" s="289"/>
      <c r="D41" s="289"/>
      <c r="E41" s="289"/>
      <c r="F41" s="289"/>
      <c r="G41" s="289"/>
    </row>
    <row r="42" spans="1:7" x14ac:dyDescent="0.35">
      <c r="A42" s="326" t="str">
        <f>"The "&amp;Assumptions!B5&amp;"-case DCF values SES at €"&amp;TEXT(B9/1000,"0.0")&amp;"bn of enterprise value and €"&amp;TEXT(B12/1000,"0.0")&amp;"bn of equity value. The source-based indicative per-share value is €"&amp;TEXT(B14,"0.00")&amp;". Terminal value contributes "&amp;TEXT(B31,"0%")&amp;" of enterprise value, so the result is highly sensitive to the "&amp;TEXT(B5,"0.0%")&amp;" WACC and "&amp;TEXT(B6,"0.0%")&amp;" terminal-growth assumptions. Adjusted net debt and minorities absorb "&amp;TEXT((B10+B11)/B9,"0%")&amp;" of enterprise value, making deleveraging a central equity-value catalyst."</f>
        <v>The Base-case DCF values SES at €11.8bn of enterprise value and €7.0bn of equity value. The source-based indicative per-share value is €16.78. Terminal value contributes 80% of enterprise value, so the result is highly sensitive to the 7.2% WACC and 1.5% terminal-growth assumptions. Adjusted net debt and minorities absorb 40% of enterprise value, making deleveraging a central equity-value catalyst.</v>
      </c>
      <c r="B42" s="326"/>
      <c r="C42" s="326"/>
      <c r="D42" s="326"/>
      <c r="E42" s="326"/>
      <c r="F42" s="326"/>
      <c r="G42" s="326"/>
    </row>
    <row r="43" spans="1:7" x14ac:dyDescent="0.35">
      <c r="A43" s="326"/>
      <c r="B43" s="326"/>
      <c r="C43" s="326"/>
      <c r="D43" s="326"/>
      <c r="E43" s="326"/>
      <c r="F43" s="326"/>
      <c r="G43" s="326"/>
    </row>
    <row r="44" spans="1:7" x14ac:dyDescent="0.35">
      <c r="A44" s="326"/>
      <c r="B44" s="326"/>
      <c r="C44" s="326"/>
      <c r="D44" s="326"/>
      <c r="E44" s="326"/>
      <c r="F44" s="326"/>
      <c r="G44" s="326"/>
    </row>
    <row r="45" spans="1:7" x14ac:dyDescent="0.35">
      <c r="A45" s="326"/>
      <c r="B45" s="326"/>
      <c r="C45" s="326"/>
      <c r="D45" s="326"/>
      <c r="E45" s="326"/>
      <c r="F45" s="326"/>
      <c r="G45" s="326"/>
    </row>
    <row r="46" spans="1:7" x14ac:dyDescent="0.35">
      <c r="A46" s="2"/>
      <c r="B46" s="2"/>
      <c r="C46" s="2"/>
      <c r="D46" s="2"/>
      <c r="E46" s="2"/>
      <c r="F46" s="2"/>
      <c r="G46" s="2"/>
    </row>
    <row r="47" spans="1:7" x14ac:dyDescent="0.35">
      <c r="A47" s="289" t="s">
        <v>438</v>
      </c>
      <c r="B47" s="289"/>
      <c r="C47" s="289"/>
      <c r="D47" s="289"/>
      <c r="E47" s="289"/>
      <c r="F47" s="289"/>
      <c r="G47" s="289"/>
    </row>
    <row r="48" spans="1:7" x14ac:dyDescent="0.35">
      <c r="A48" s="142" t="s">
        <v>201</v>
      </c>
      <c r="B48" s="142" t="s">
        <v>202</v>
      </c>
      <c r="C48" s="296" t="s">
        <v>329</v>
      </c>
      <c r="D48" s="296"/>
      <c r="E48" s="296"/>
      <c r="F48" s="296"/>
      <c r="G48" s="296"/>
    </row>
    <row r="49" spans="1:7" x14ac:dyDescent="0.35">
      <c r="A49" s="158" t="s">
        <v>439</v>
      </c>
      <c r="B49" s="184" t="str">
        <f>IF(B5&gt;B6,"PASS","REVIEW")</f>
        <v>PASS</v>
      </c>
      <c r="C49" s="317" t="s">
        <v>445</v>
      </c>
      <c r="D49" s="317"/>
      <c r="E49" s="317"/>
      <c r="F49" s="317"/>
      <c r="G49" s="317"/>
    </row>
    <row r="50" spans="1:7" x14ac:dyDescent="0.35">
      <c r="A50" s="34" t="s">
        <v>440</v>
      </c>
      <c r="B50" s="49" t="str">
        <f>IF(COUNT(B21:F21)=5,"PASS","REVIEW")</f>
        <v>PASS</v>
      </c>
      <c r="C50" s="318" t="s">
        <v>446</v>
      </c>
      <c r="D50" s="318"/>
      <c r="E50" s="318"/>
      <c r="F50" s="318"/>
      <c r="G50" s="318"/>
    </row>
    <row r="51" spans="1:7" x14ac:dyDescent="0.35">
      <c r="A51" s="162" t="s">
        <v>441</v>
      </c>
      <c r="B51" s="147" t="str">
        <f>IF(ABS(B9-B7-B8)&lt;0.01,"PASS","REVIEW")</f>
        <v>PASS</v>
      </c>
      <c r="C51" s="319" t="s">
        <v>447</v>
      </c>
      <c r="D51" s="319"/>
      <c r="E51" s="319"/>
      <c r="F51" s="319"/>
      <c r="G51" s="319"/>
    </row>
    <row r="52" spans="1:7" x14ac:dyDescent="0.35">
      <c r="A52" s="34" t="s">
        <v>442</v>
      </c>
      <c r="B52" s="49" t="str">
        <f>IF(ABS(B12-(B9-B10-B11))&lt;0.01,"PASS","REVIEW")</f>
        <v>PASS</v>
      </c>
      <c r="C52" s="318" t="s">
        <v>448</v>
      </c>
      <c r="D52" s="318"/>
      <c r="E52" s="318"/>
      <c r="F52" s="318"/>
      <c r="G52" s="318"/>
    </row>
    <row r="53" spans="1:7" x14ac:dyDescent="0.35">
      <c r="A53" s="162" t="s">
        <v>443</v>
      </c>
      <c r="B53" s="147" t="str">
        <f>IF(B31&lt;=85%,"PASS","REVIEW")</f>
        <v>PASS</v>
      </c>
      <c r="C53" s="319" t="s">
        <v>449</v>
      </c>
      <c r="D53" s="319"/>
      <c r="E53" s="319"/>
      <c r="F53" s="319"/>
      <c r="G53" s="319"/>
    </row>
    <row r="54" spans="1:7" ht="29" x14ac:dyDescent="0.35">
      <c r="A54" s="384" t="s">
        <v>444</v>
      </c>
      <c r="B54" s="27" t="str">
        <f>IF(B13&gt;0,"PASS","REVIEW")</f>
        <v>PASS</v>
      </c>
      <c r="C54" s="288" t="s">
        <v>450</v>
      </c>
      <c r="D54" s="288"/>
      <c r="E54" s="288"/>
      <c r="F54" s="288"/>
      <c r="G54" s="288"/>
    </row>
    <row r="55" spans="1:7" ht="19.5" customHeight="1" x14ac:dyDescent="0.35"/>
    <row r="56" spans="1:7" ht="19.5" customHeight="1" x14ac:dyDescent="0.35"/>
    <row r="57" spans="1:7" ht="19.5" customHeight="1" x14ac:dyDescent="0.35"/>
    <row r="58" spans="1:7" ht="19.5" customHeight="1" x14ac:dyDescent="0.35"/>
    <row r="59" spans="1:7" ht="19.5" customHeight="1" x14ac:dyDescent="0.35"/>
    <row r="60" spans="1:7" ht="19.5" customHeight="1" x14ac:dyDescent="0.35"/>
    <row r="61" spans="1:7" ht="19.5" customHeight="1" x14ac:dyDescent="0.35"/>
    <row r="62" spans="1:7" ht="19.5" customHeight="1" x14ac:dyDescent="0.35"/>
    <row r="63" spans="1:7" ht="19.5" customHeight="1" x14ac:dyDescent="0.35"/>
    <row r="64" spans="1:7" ht="19.5" customHeight="1" x14ac:dyDescent="0.35"/>
    <row r="65" ht="19.5" customHeight="1" x14ac:dyDescent="0.35"/>
    <row r="66" ht="19.5" customHeight="1" x14ac:dyDescent="0.35"/>
    <row r="67" ht="19.5" customHeight="1" x14ac:dyDescent="0.35"/>
    <row r="68" ht="19.5" customHeight="1" x14ac:dyDescent="0.35"/>
    <row r="69" ht="19.5" customHeight="1" x14ac:dyDescent="0.35"/>
    <row r="70" ht="19.5" customHeight="1" x14ac:dyDescent="0.35"/>
    <row r="71" ht="19.5" customHeight="1" x14ac:dyDescent="0.35"/>
    <row r="72" ht="19.5" customHeight="1" x14ac:dyDescent="0.35"/>
    <row r="73" ht="19.5" customHeight="1" x14ac:dyDescent="0.35"/>
    <row r="74" ht="19.5" customHeight="1" x14ac:dyDescent="0.35"/>
    <row r="75" ht="19.5" customHeight="1" x14ac:dyDescent="0.35"/>
    <row r="76" ht="19.5" customHeight="1" x14ac:dyDescent="0.35"/>
    <row r="77" ht="19.5" customHeight="1" x14ac:dyDescent="0.35"/>
    <row r="78" ht="19.5" customHeight="1" x14ac:dyDescent="0.35"/>
    <row r="79" ht="19.5" customHeight="1" x14ac:dyDescent="0.35"/>
    <row r="80" ht="19.5" customHeight="1" x14ac:dyDescent="0.35"/>
  </sheetData>
  <mergeCells count="38">
    <mergeCell ref="C37:G37"/>
    <mergeCell ref="C38:G38"/>
    <mergeCell ref="C39:G39"/>
    <mergeCell ref="C35:G35"/>
    <mergeCell ref="C54:G54"/>
    <mergeCell ref="A41:G41"/>
    <mergeCell ref="A42:G45"/>
    <mergeCell ref="A47:G47"/>
    <mergeCell ref="C48:G48"/>
    <mergeCell ref="C49:G49"/>
    <mergeCell ref="C50:G50"/>
    <mergeCell ref="C51:G51"/>
    <mergeCell ref="C52:G52"/>
    <mergeCell ref="C53:G53"/>
    <mergeCell ref="C14:G14"/>
    <mergeCell ref="A19:G19"/>
    <mergeCell ref="A26:G26"/>
    <mergeCell ref="C27:G27"/>
    <mergeCell ref="C28:G28"/>
    <mergeCell ref="C29:G29"/>
    <mergeCell ref="C30:G30"/>
    <mergeCell ref="C31:G31"/>
    <mergeCell ref="A34:G34"/>
    <mergeCell ref="A15:G15"/>
    <mergeCell ref="A18:G18"/>
    <mergeCell ref="C36:G36"/>
    <mergeCell ref="C13:G13"/>
    <mergeCell ref="A1:G1"/>
    <mergeCell ref="A2:G2"/>
    <mergeCell ref="A4:G4"/>
    <mergeCell ref="C5:G5"/>
    <mergeCell ref="C6:G6"/>
    <mergeCell ref="C7:G7"/>
    <mergeCell ref="C8:G8"/>
    <mergeCell ref="C9:G9"/>
    <mergeCell ref="C10:G10"/>
    <mergeCell ref="C11:G11"/>
    <mergeCell ref="C12:G1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30E0C-9758-462E-BFD8-3457C6D953CE}">
  <sheetPr>
    <tabColor rgb="FFFFC000"/>
  </sheetPr>
  <dimension ref="A1:H78"/>
  <sheetViews>
    <sheetView showGridLines="0" workbookViewId="0">
      <selection activeCell="G17" sqref="G17:H17"/>
    </sheetView>
  </sheetViews>
  <sheetFormatPr defaultColWidth="8.7265625" defaultRowHeight="14.5" x14ac:dyDescent="0.35"/>
  <cols>
    <col min="1" max="1" width="32.7265625" customWidth="1"/>
    <col min="2" max="2" width="14.90625" customWidth="1"/>
    <col min="3" max="3" width="18.7265625" customWidth="1"/>
    <col min="4" max="6" width="14.90625" customWidth="1"/>
    <col min="7" max="8" width="18.1796875" customWidth="1"/>
    <col min="9" max="14" width="14" customWidth="1"/>
  </cols>
  <sheetData>
    <row r="1" spans="1:8" ht="30" customHeight="1" x14ac:dyDescent="0.55000000000000004">
      <c r="A1" s="293" t="s">
        <v>451</v>
      </c>
      <c r="B1" s="293"/>
      <c r="C1" s="293"/>
      <c r="D1" s="293"/>
      <c r="E1" s="293"/>
      <c r="F1" s="293"/>
      <c r="G1" s="293"/>
      <c r="H1" s="293"/>
    </row>
    <row r="2" spans="1:8" ht="22" customHeight="1" x14ac:dyDescent="0.35">
      <c r="A2" s="294" t="s">
        <v>452</v>
      </c>
      <c r="B2" s="294"/>
      <c r="C2" s="294"/>
      <c r="D2" s="294"/>
      <c r="E2" s="294"/>
      <c r="F2" s="294"/>
      <c r="G2" s="294"/>
      <c r="H2" s="294"/>
    </row>
    <row r="3" spans="1:8" ht="19.5" customHeight="1" x14ac:dyDescent="0.35">
      <c r="A3" s="1"/>
      <c r="B3" s="1"/>
      <c r="C3" s="1"/>
      <c r="D3" s="1"/>
      <c r="E3" s="1"/>
      <c r="F3" s="1"/>
      <c r="G3" s="1"/>
      <c r="H3" s="1"/>
    </row>
    <row r="4" spans="1:8" ht="22" customHeight="1" x14ac:dyDescent="0.35">
      <c r="A4" s="289" t="s">
        <v>453</v>
      </c>
      <c r="B4" s="289"/>
      <c r="C4" s="289"/>
      <c r="D4" s="289"/>
      <c r="E4" s="289"/>
      <c r="F4" s="289"/>
      <c r="G4" s="289"/>
      <c r="H4" s="289"/>
    </row>
    <row r="5" spans="1:8" ht="28" customHeight="1" x14ac:dyDescent="0.35">
      <c r="A5" s="222" t="s">
        <v>454</v>
      </c>
      <c r="B5" s="223">
        <v>5.0000000000000001E-3</v>
      </c>
      <c r="C5" s="223">
        <v>0.01</v>
      </c>
      <c r="D5" s="223">
        <v>1.4999999999999999E-2</v>
      </c>
      <c r="E5" s="223">
        <v>0.02</v>
      </c>
      <c r="F5" s="224">
        <v>2.5000000000000001E-2</v>
      </c>
      <c r="G5" s="142" t="s">
        <v>455</v>
      </c>
      <c r="H5" s="142"/>
    </row>
    <row r="6" spans="1:8" ht="42" customHeight="1" x14ac:dyDescent="0.35">
      <c r="A6" s="225">
        <v>6.2E-2</v>
      </c>
      <c r="B6" s="74">
        <f>SUM(Projections!B18/(1+$A6)^1,Projections!C18/(1+$A6)^2,Projections!D18/(1+$A6)^3,Projections!E18/(1+$A6)^4,Projections!F18/(1+$A6)^5)+(Projections!F18*(1+B$5)/($A6-B$5))/(1+$A6)^5</f>
        <v>12178.29114765437</v>
      </c>
      <c r="C6" s="74">
        <f>SUM(Projections!B18/(1+$A6)^1,Projections!C18/(1+$A6)^2,Projections!D18/(1+$A6)^3,Projections!E18/(1+$A6)^4,Projections!F18/(1+$A6)^5)+(Projections!F18*(1+C$5)/($A6-C$5))/(1+$A6)^5</f>
        <v>13170.139600701536</v>
      </c>
      <c r="D6" s="74">
        <f>SUM(Projections!B18/(1+$A6)^1,Projections!C18/(1+$A6)^2,Projections!D18/(1+$A6)^3,Projections!E18/(1+$A6)^4,Projections!F18/(1+$A6)^5)+(Projections!F18*(1+D$5)/($A6-D$5))/(1+$A6)^5</f>
        <v>14373.019639503411</v>
      </c>
      <c r="E6" s="74">
        <f>SUM(Projections!B18/(1+$A6)^1,Projections!C18/(1+$A6)^2,Projections!D18/(1+$A6)^3,Projections!E18/(1+$A6)^4,Projections!F18/(1+$A6)^5)+(Projections!F18*(1+E$5)/($A6-E$5))/(1+$A6)^5</f>
        <v>15862.299687543837</v>
      </c>
      <c r="F6" s="75">
        <f>SUM(Projections!B18/(1+$A6)^1,Projections!C18/(1+$A6)^2,Projections!D18/(1+$A6)^3,Projections!E18/(1+$A6)^4,Projections!F18/(1+$A6)^5)+(Projections!F18*(1+F$5)/($A6-F$5))/(1+$A6)^5</f>
        <v>17754.087856676259</v>
      </c>
      <c r="G6" s="303" t="s">
        <v>456</v>
      </c>
      <c r="H6" s="303"/>
    </row>
    <row r="7" spans="1:8" ht="38" customHeight="1" x14ac:dyDescent="0.35">
      <c r="A7" s="225">
        <v>6.7000000000000004E-2</v>
      </c>
      <c r="B7" s="74">
        <f>SUM(Projections!B18/(1+$A7)^1,Projections!C18/(1+$A7)^2,Projections!D18/(1+$A7)^3,Projections!E18/(1+$A7)^4,Projections!F18/(1+$A7)^5)+(Projections!F18*(1+B$5)/($A7-B$5))/(1+$A7)^5</f>
        <v>11146.637971171742</v>
      </c>
      <c r="C7" s="74">
        <f>SUM(Projections!B18/(1+$A7)^1,Projections!C18/(1+$A7)^2,Projections!D18/(1+$A7)^3,Projections!E18/(1+$A7)^4,Projections!F18/(1+$A7)^5)+(Projections!F18*(1+C$5)/($A7-C$5))/(1+$A7)^5</f>
        <v>11963.027383438581</v>
      </c>
      <c r="D7" s="74">
        <f>SUM(Projections!B18/(1+$A7)^1,Projections!C18/(1+$A7)^2,Projections!D18/(1+$A7)^3,Projections!E18/(1+$A7)^4,Projections!F18/(1+$A7)^5)+(Projections!F18*(1+D$5)/($A7-D$5))/(1+$A7)^5</f>
        <v>12936.414759602885</v>
      </c>
      <c r="E7" s="74">
        <f>SUM(Projections!B18/(1+$A7)^1,Projections!C18/(1+$A7)^2,Projections!D18/(1+$A7)^3,Projections!E18/(1+$A7)^4,Projections!F18/(1+$A7)^5)+(Projections!F18*(1+E$5)/($A7-E$5))/(1+$A7)^5</f>
        <v>14116.905832823428</v>
      </c>
      <c r="F7" s="75">
        <f>SUM(Projections!B18/(1+$A7)^1,Projections!C18/(1+$A7)^2,Projections!D18/(1+$A7)^3,Projections!E18/(1+$A7)^4,Projections!F18/(1+$A7)^5)+(Projections!F18*(1+F$5)/($A7-F$5))/(1+$A7)^5</f>
        <v>15578.466209191713</v>
      </c>
      <c r="G7" s="303" t="s">
        <v>457</v>
      </c>
      <c r="H7" s="303"/>
    </row>
    <row r="8" spans="1:8" ht="38" customHeight="1" x14ac:dyDescent="0.35">
      <c r="A8" s="225">
        <v>7.1999999999999995E-2</v>
      </c>
      <c r="B8" s="74">
        <f>SUM(Projections!B18/(1+$A8)^1,Projections!C18/(1+$A8)^2,Projections!D18/(1+$A8)^3,Projections!E18/(1+$A8)^4,Projections!F18/(1+$A8)^5)+(Projections!F18*(1+B$5)/($A8-B$5))/(1+$A8)^5</f>
        <v>10269.716755451183</v>
      </c>
      <c r="C8" s="74">
        <f>SUM(Projections!B18/(1+$A8)^1,Projections!C18/(1+$A8)^2,Projections!D18/(1+$A8)^3,Projections!E18/(1+$A8)^4,Projections!F18/(1+$A8)^5)+(Projections!F18*(1+C$5)/($A8-C$5))/(1+$A8)^5</f>
        <v>10951.389536262057</v>
      </c>
      <c r="D8" s="226">
        <f>SUM(Projections!B18/(1+$A8)^1,Projections!C18/(1+$A8)^2,Projections!D18/(1+$A8)^3,Projections!E18/(1+$A8)^4,Projections!F18/(1+$A8)^5)+(Projections!F18*(1+D$5)/($A8-D$5))/(1+$A8)^5</f>
        <v>11752.654033004659</v>
      </c>
      <c r="E8" s="74">
        <f>SUM(Projections!B18/(1+$A8)^1,Projections!C18/(1+$A8)^2,Projections!D18/(1+$A8)^3,Projections!E18/(1+$A8)^4,Projections!F18/(1+$A8)^5)+(Projections!F18*(1+E$5)/($A8-E$5))/(1+$A8)^5</f>
        <v>12708.007856043918</v>
      </c>
      <c r="F8" s="75">
        <f>SUM(Projections!B18/(1+$A8)^1,Projections!C18/(1+$A8)^2,Projections!D18/(1+$A8)^3,Projections!E18/(1+$A8)^4,Projections!F18/(1+$A8)^5)+(Projections!F18*(1+F$5)/($A8-F$5))/(1+$A8)^5</f>
        <v>13866.628449942589</v>
      </c>
      <c r="G8" s="303" t="s">
        <v>458</v>
      </c>
      <c r="H8" s="303"/>
    </row>
    <row r="9" spans="1:8" ht="38" customHeight="1" x14ac:dyDescent="0.35">
      <c r="A9" s="225">
        <v>7.6999999999999999E-2</v>
      </c>
      <c r="B9" s="74">
        <f>SUM(Projections!B18/(1+$A9)^1,Projections!C18/(1+$A9)^2,Projections!D18/(1+$A9)^3,Projections!E18/(1+$A9)^4,Projections!F18/(1+$A9)^5)+(Projections!F18*(1+B$5)/($A9-B$5))/(1+$A9)^5</f>
        <v>9515.2759187239444</v>
      </c>
      <c r="C9" s="74">
        <f>SUM(Projections!B18/(1+$A9)^1,Projections!C18/(1+$A9)^2,Projections!D18/(1+$A9)^3,Projections!E18/(1+$A9)^4,Projections!F18/(1+$A9)^5)+(Projections!F18*(1+C$5)/($A9-C$5))/(1+$A9)^5</f>
        <v>10091.447023277391</v>
      </c>
      <c r="D9" s="74">
        <f>SUM(Projections!B18/(1+$A9)^1,Projections!C18/(1+$A9)^2,Projections!D18/(1+$A9)^3,Projections!E18/(1+$A9)^4,Projections!F18/(1+$A9)^5)+(Projections!F18*(1+D$5)/($A9-D$5))/(1+$A9)^5</f>
        <v>10760.548951145909</v>
      </c>
      <c r="E9" s="74">
        <f>SUM(Projections!B18/(1+$A9)^1,Projections!C18/(1+$A9)^2,Projections!D18/(1+$A9)^3,Projections!E18/(1+$A9)^4,Projections!F18/(1+$A9)^5)+(Projections!F18*(1+E$5)/($A9-E$5))/(1+$A9)^5</f>
        <v>11547.037182149257</v>
      </c>
      <c r="F9" s="75">
        <f>SUM(Projections!B18/(1+$A9)^1,Projections!C18/(1+$A9)^2,Projections!D18/(1+$A9)^3,Projections!E18/(1+$A9)^4,Projections!F18/(1+$A9)^5)+(Projections!F18*(1+F$5)/($A9-F$5))/(1+$A9)^5</f>
        <v>12484.773149884015</v>
      </c>
      <c r="G9" s="303" t="s">
        <v>459</v>
      </c>
      <c r="H9" s="303"/>
    </row>
    <row r="10" spans="1:8" ht="38" customHeight="1" x14ac:dyDescent="0.35">
      <c r="A10" s="225">
        <v>8.2000000000000003E-2</v>
      </c>
      <c r="B10" s="74">
        <f>SUM(Projections!B18/(1+$A10)^1,Projections!C18/(1+$A10)^2,Projections!D18/(1+$A10)^3,Projections!E18/(1+$A10)^4,Projections!F18/(1+$A10)^5)+(Projections!F18*(1+B$5)/($A10-B$5))/(1+$A10)^5</f>
        <v>8859.4413246219083</v>
      </c>
      <c r="C10" s="74">
        <f>SUM(Projections!B18/(1+$A10)^1,Projections!C18/(1+$A10)^2,Projections!D18/(1+$A10)^3,Projections!E18/(1+$A10)^4,Projections!F18/(1+$A10)^5)+(Projections!F18*(1+C$5)/($A10-C$5))/(1+$A10)^5</f>
        <v>9351.5820691203062</v>
      </c>
      <c r="D10" s="74">
        <f>SUM(Projections!B18/(1+$A10)^1,Projections!C18/(1+$A10)^2,Projections!D18/(1+$A10)^3,Projections!E18/(1+$A10)^4,Projections!F18/(1+$A10)^5)+(Projections!F18*(1+D$5)/($A10-D$5))/(1+$A10)^5</f>
        <v>9917.1766560811502</v>
      </c>
      <c r="E10" s="74">
        <f>SUM(Projections!B18/(1+$A10)^1,Projections!C18/(1+$A10)^2,Projections!D18/(1+$A10)^3,Projections!E18/(1+$A10)^4,Projections!F18/(1+$A10)^5)+(Projections!F18*(1+E$5)/($A10-E$5))/(1+$A10)^5</f>
        <v>10573.996176422777</v>
      </c>
      <c r="F10" s="75">
        <f>SUM(Projections!B18/(1+$A10)^1,Projections!C18/(1+$A10)^2,Projections!D18/(1+$A10)^3,Projections!E18/(1+$A10)^4,Projections!F18/(1+$A10)^5)+(Projections!F18*(1+F$5)/($A10-F$5))/(1+$A10)^5</f>
        <v>11346.047191561178</v>
      </c>
      <c r="G10" s="303" t="s">
        <v>460</v>
      </c>
      <c r="H10" s="303"/>
    </row>
    <row r="11" spans="1:8" ht="19.5" customHeight="1" x14ac:dyDescent="0.35">
      <c r="A11" s="1"/>
      <c r="B11" s="1"/>
      <c r="C11" s="1"/>
      <c r="D11" s="1"/>
      <c r="E11" s="1"/>
      <c r="F11" s="1"/>
      <c r="G11" s="1"/>
      <c r="H11" s="1"/>
    </row>
    <row r="12" spans="1:8" ht="19.5" customHeight="1" x14ac:dyDescent="0.35">
      <c r="A12" s="1"/>
      <c r="B12" s="1"/>
      <c r="C12" s="1"/>
      <c r="D12" s="1"/>
      <c r="E12" s="1"/>
      <c r="F12" s="1"/>
      <c r="G12" s="1"/>
      <c r="H12" s="1"/>
    </row>
    <row r="13" spans="1:8" ht="22" customHeight="1" x14ac:dyDescent="0.35">
      <c r="A13" s="289" t="s">
        <v>461</v>
      </c>
      <c r="B13" s="289"/>
      <c r="C13" s="289"/>
      <c r="D13" s="289"/>
      <c r="E13" s="289"/>
      <c r="F13" s="289"/>
      <c r="G13" s="289"/>
      <c r="H13" s="289"/>
    </row>
    <row r="14" spans="1:8" ht="28" customHeight="1" x14ac:dyDescent="0.35">
      <c r="A14" s="222" t="s">
        <v>454</v>
      </c>
      <c r="B14" s="223">
        <v>5.0000000000000001E-3</v>
      </c>
      <c r="C14" s="223">
        <v>0.01</v>
      </c>
      <c r="D14" s="223">
        <v>1.4999999999999999E-2</v>
      </c>
      <c r="E14" s="223">
        <v>0.02</v>
      </c>
      <c r="F14" s="224">
        <v>2.5000000000000001E-2</v>
      </c>
      <c r="G14" s="142" t="s">
        <v>462</v>
      </c>
      <c r="H14" s="142"/>
    </row>
    <row r="15" spans="1:8" ht="62.5" customHeight="1" x14ac:dyDescent="0.35">
      <c r="A15" s="225">
        <f>A6</f>
        <v>6.2E-2</v>
      </c>
      <c r="B15" s="76">
        <f>MAX((B6-DCF!$B$10-DCF!$B$11)/Assumptions!$B$27,0)</f>
        <v>17.800432649215701</v>
      </c>
      <c r="C15" s="76">
        <f>MAX((C6-DCF!$B$10-DCF!$B$11)/Assumptions!$B$27,0)</f>
        <v>20.178930627361844</v>
      </c>
      <c r="D15" s="76">
        <f>MAX((D6-DCF!$B$10-DCF!$B$11)/Assumptions!$B$27,0)</f>
        <v>23.063492005113538</v>
      </c>
      <c r="E15" s="76">
        <f>MAX((E6-DCF!$B$10-DCF!$B$11)/Assumptions!$B$27,0)</f>
        <v>26.634853710901371</v>
      </c>
      <c r="F15" s="77">
        <f>MAX((F6-DCF!$B$10-DCF!$B$11)/Assumptions!$B$27,0)</f>
        <v>31.171448310145351</v>
      </c>
      <c r="G15" s="303" t="s">
        <v>844</v>
      </c>
      <c r="H15" s="303"/>
    </row>
    <row r="16" spans="1:8" ht="30.5" customHeight="1" x14ac:dyDescent="0.35">
      <c r="A16" s="225">
        <f>A7</f>
        <v>6.7000000000000004E-2</v>
      </c>
      <c r="B16" s="76">
        <f>MAX((B7-DCF!$B$10-DCF!$B$11)/Assumptions!$B$27,0)</f>
        <v>15.326481122776915</v>
      </c>
      <c r="C16" s="76">
        <f>MAX((C7-DCF!$B$10-DCF!$B$11)/Assumptions!$B$27,0)</f>
        <v>17.284220291992778</v>
      </c>
      <c r="D16" s="76">
        <f>MAX((D7-DCF!$B$10-DCF!$B$11)/Assumptions!$B$27,0)</f>
        <v>19.618447762980914</v>
      </c>
      <c r="E16" s="76">
        <f>MAX((E7-DCF!$B$10-DCF!$B$11)/Assumptions!$B$27,0)</f>
        <v>22.449319376732493</v>
      </c>
      <c r="F16" s="77">
        <f>MAX((F7-DCF!$B$10-DCF!$B$11)/Assumptions!$B$27,0)</f>
        <v>25.954208041377289</v>
      </c>
      <c r="G16" s="303" t="s">
        <v>463</v>
      </c>
      <c r="H16" s="303"/>
    </row>
    <row r="17" spans="1:8" ht="30.5" customHeight="1" x14ac:dyDescent="0.35">
      <c r="A17" s="225">
        <f>A8</f>
        <v>7.1999999999999995E-2</v>
      </c>
      <c r="B17" s="76">
        <f>MAX((B8-DCF!$B$10-DCF!$B$11)/Assumptions!$B$27,0)</f>
        <v>13.223583918897701</v>
      </c>
      <c r="C17" s="76">
        <f>MAX((C8-DCF!$B$10-DCF!$B$11)/Assumptions!$B$27,0)</f>
        <v>14.858266441146716</v>
      </c>
      <c r="D17" s="227">
        <f>MAX((D8-DCF!$B$10-DCF!$B$11)/Assumptions!$B$27,0)</f>
        <v>16.779735370807831</v>
      </c>
      <c r="E17" s="76">
        <f>MAX((E8-DCF!$B$10-DCF!$B$11)/Assumptions!$B$27,0)</f>
        <v>19.070717556173008</v>
      </c>
      <c r="F17" s="77">
        <f>MAX((F8-DCF!$B$10-DCF!$B$11)/Assumptions!$B$27,0)</f>
        <v>21.849142759700985</v>
      </c>
      <c r="G17" s="303" t="str">
        <f>"Base-case centre point equals the DCF’s €"&amp;TEXT(DCF!B14,"0.00")&amp;" per-share output."</f>
        <v>Base-case centre point equals the DCF’s €16.78 per-share output.</v>
      </c>
      <c r="H17" s="303"/>
    </row>
    <row r="18" spans="1:8" ht="46" customHeight="1" x14ac:dyDescent="0.35">
      <c r="A18" s="225">
        <f>A9</f>
        <v>7.6999999999999999E-2</v>
      </c>
      <c r="B18" s="76">
        <f>MAX((B9-DCF!$B$10-DCF!$B$11)/Assumptions!$B$27,0)</f>
        <v>11.414400268639698</v>
      </c>
      <c r="C18" s="76">
        <f>MAX((C9-DCF!$B$10-DCF!$B$11)/Assumptions!$B$27,0)</f>
        <v>12.796084943386512</v>
      </c>
      <c r="D18" s="76">
        <f>MAX((D9-DCF!$B$10-DCF!$B$11)/Assumptions!$B$27,0)</f>
        <v>14.400621985027973</v>
      </c>
      <c r="E18" s="76">
        <f>MAX((E9-DCF!$B$10-DCF!$B$11)/Assumptions!$B$27,0)</f>
        <v>16.286656753273206</v>
      </c>
      <c r="F18" s="77">
        <f>MAX((F9-DCF!$B$10-DCF!$B$11)/Assumptions!$B$27,0)</f>
        <v>18.535390515411745</v>
      </c>
      <c r="G18" s="303" t="s">
        <v>464</v>
      </c>
      <c r="H18" s="303"/>
    </row>
    <row r="19" spans="1:8" ht="28.5" customHeight="1" x14ac:dyDescent="0.35">
      <c r="A19" s="225">
        <f>A10</f>
        <v>8.2000000000000003E-2</v>
      </c>
      <c r="B19" s="76">
        <f>MAX((B10-DCF!$B$10-DCF!$B$11)/Assumptions!$B$27,0)</f>
        <v>9.8416789004935357</v>
      </c>
      <c r="C19" s="76">
        <f>MAX((C10-DCF!$B$10-DCF!$B$11)/Assumptions!$B$27,0)</f>
        <v>11.021854926535203</v>
      </c>
      <c r="D19" s="76">
        <f>MAX((D10-DCF!$B$10-DCF!$B$11)/Assumptions!$B$27,0)</f>
        <v>12.378176628105473</v>
      </c>
      <c r="E19" s="76">
        <f>MAX((E10-DCF!$B$10-DCF!$B$11)/Assumptions!$B$27,0)</f>
        <v>13.953259894445146</v>
      </c>
      <c r="F19" s="77">
        <f>MAX((F10-DCF!$B$10-DCF!$B$11)/Assumptions!$B$27,0)</f>
        <v>15.804673558388265</v>
      </c>
      <c r="G19" s="303" t="s">
        <v>465</v>
      </c>
      <c r="H19" s="303"/>
    </row>
    <row r="20" spans="1:8" ht="19.5" customHeight="1" x14ac:dyDescent="0.35">
      <c r="A20" s="1"/>
      <c r="B20" s="1"/>
      <c r="C20" s="1"/>
      <c r="D20" s="1"/>
      <c r="E20" s="1"/>
      <c r="F20" s="1"/>
      <c r="G20" s="1"/>
      <c r="H20" s="1"/>
    </row>
    <row r="21" spans="1:8" ht="19.5" customHeight="1" x14ac:dyDescent="0.35">
      <c r="A21" s="1"/>
      <c r="B21" s="1"/>
      <c r="C21" s="1"/>
      <c r="D21" s="1"/>
      <c r="E21" s="1"/>
      <c r="F21" s="1"/>
      <c r="G21" s="1"/>
      <c r="H21" s="1"/>
    </row>
    <row r="22" spans="1:8" ht="22" customHeight="1" x14ac:dyDescent="0.35">
      <c r="A22" s="289" t="s">
        <v>466</v>
      </c>
      <c r="B22" s="289"/>
      <c r="C22" s="289"/>
      <c r="D22" s="289"/>
      <c r="E22" s="289"/>
      <c r="F22" s="289"/>
      <c r="G22" s="289"/>
      <c r="H22" s="289"/>
    </row>
    <row r="23" spans="1:8" ht="28" customHeight="1" x14ac:dyDescent="0.35">
      <c r="A23" s="142" t="s">
        <v>428</v>
      </c>
      <c r="B23" s="142" t="s">
        <v>179</v>
      </c>
      <c r="C23" s="231" t="s">
        <v>467</v>
      </c>
      <c r="D23" s="142" t="s">
        <v>204</v>
      </c>
      <c r="E23" s="142"/>
      <c r="F23" s="142"/>
      <c r="G23" s="142"/>
      <c r="H23" s="142"/>
    </row>
    <row r="24" spans="1:8" ht="43.5" x14ac:dyDescent="0.35">
      <c r="A24" s="158" t="s">
        <v>468</v>
      </c>
      <c r="B24" s="228">
        <f>D8</f>
        <v>11752.654033004659</v>
      </c>
      <c r="C24" s="185" t="s">
        <v>473</v>
      </c>
      <c r="D24" s="315" t="s">
        <v>478</v>
      </c>
      <c r="E24" s="315"/>
      <c r="F24" s="315"/>
      <c r="G24" s="315"/>
      <c r="H24" s="315"/>
    </row>
    <row r="25" spans="1:8" ht="43.5" x14ac:dyDescent="0.35">
      <c r="A25" s="34" t="s">
        <v>469</v>
      </c>
      <c r="B25" s="78">
        <f>MAX(B6:F10)-MIN(B6:F10)</f>
        <v>8894.6465320543502</v>
      </c>
      <c r="C25" s="50" t="s">
        <v>474</v>
      </c>
      <c r="D25" s="307" t="s">
        <v>479</v>
      </c>
      <c r="E25" s="307"/>
      <c r="F25" s="307"/>
      <c r="G25" s="307"/>
      <c r="H25" s="307"/>
    </row>
    <row r="26" spans="1:8" ht="58" x14ac:dyDescent="0.35">
      <c r="A26" s="162" t="s">
        <v>470</v>
      </c>
      <c r="B26" s="229">
        <f>MAX(B15:F19)-MIN(B15:F19)</f>
        <v>21.329769409651817</v>
      </c>
      <c r="C26" s="186" t="s">
        <v>475</v>
      </c>
      <c r="D26" s="316" t="s">
        <v>480</v>
      </c>
      <c r="E26" s="316"/>
      <c r="F26" s="316"/>
      <c r="G26" s="316"/>
      <c r="H26" s="316"/>
    </row>
    <row r="27" spans="1:8" ht="29" x14ac:dyDescent="0.35">
      <c r="A27" s="34" t="s">
        <v>471</v>
      </c>
      <c r="B27" s="73">
        <f>D9/D8-1</f>
        <v>-8.4415407708986256E-2</v>
      </c>
      <c r="C27" s="50" t="s">
        <v>476</v>
      </c>
      <c r="D27" s="307" t="s">
        <v>481</v>
      </c>
      <c r="E27" s="307"/>
      <c r="F27" s="307"/>
      <c r="G27" s="307"/>
      <c r="H27" s="307"/>
    </row>
    <row r="28" spans="1:8" ht="43.5" x14ac:dyDescent="0.35">
      <c r="A28" s="206" t="s">
        <v>472</v>
      </c>
      <c r="B28" s="230">
        <f>E8/D8-1</f>
        <v>8.1288347326175403E-2</v>
      </c>
      <c r="C28" s="135" t="s">
        <v>477</v>
      </c>
      <c r="D28" s="327" t="s">
        <v>482</v>
      </c>
      <c r="E28" s="327"/>
      <c r="F28" s="327"/>
      <c r="G28" s="327"/>
      <c r="H28" s="327"/>
    </row>
    <row r="29" spans="1:8" ht="19.5" customHeight="1" x14ac:dyDescent="0.35">
      <c r="A29" s="1"/>
      <c r="B29" s="1"/>
      <c r="C29" s="1"/>
      <c r="D29" s="1"/>
      <c r="E29" s="1"/>
      <c r="F29" s="1"/>
      <c r="G29" s="1"/>
      <c r="H29" s="1"/>
    </row>
    <row r="30" spans="1:8" ht="22" customHeight="1" x14ac:dyDescent="0.35">
      <c r="A30" s="289" t="s">
        <v>483</v>
      </c>
      <c r="B30" s="289"/>
      <c r="C30" s="289"/>
      <c r="D30" s="289"/>
      <c r="E30" s="289"/>
      <c r="F30" s="289"/>
      <c r="G30" s="289"/>
      <c r="H30" s="289"/>
    </row>
    <row r="31" spans="1:8" ht="8" customHeight="1" x14ac:dyDescent="0.35">
      <c r="A31" s="326" t="str">
        <f>"The selected DCF point is €"&amp;TEXT(D8/1000,"0.0")&amp;"bn of enterprise value at a "&amp;TEXT(A8,"0.0%")&amp;" WACC and "&amp;TEXT(D5,"0.0%")&amp;" terminal growth rate. Across the full matrix, enterprise value ranges from €"&amp;TEXT(MIN(B6:F10)/1000,"0.0")&amp;"bn to €"&amp;TEXT(MAX(B6:F10)/1000,"0.0")&amp;"bn, while indicative equity value per share ranges from €"&amp;TEXT(MIN(B15:F19),"0.00")&amp;" to €"&amp;TEXT(MAX(B15:F19),"0.00")&amp;". At the Base terminal-growth rate, a 0.5 percentage-point increase in WACC reduces EV by "&amp;TEXT(ABS(B27),"0.0%")&amp;"; a 0.5 percentage-point increase in terminal growth raises EV by "&amp;TEXT(B28,"0.0%")&amp;". The model therefore presents valuation ranges rather than false precision."</f>
        <v>The selected DCF point is €11.8bn of enterprise value at a 7.2% WACC and 1.5% terminal growth rate. Across the full matrix, enterprise value ranges from €8.9bn to €17.8bn, while indicative equity value per share ranges from €9.84 to €31.17. At the Base terminal-growth rate, a 0.5 percentage-point increase in WACC reduces EV by 8.4%; a 0.5 percentage-point increase in terminal growth raises EV by 8.1%. The model therefore presents valuation ranges rather than false precision.</v>
      </c>
      <c r="B31" s="326"/>
      <c r="C31" s="326"/>
      <c r="D31" s="326"/>
      <c r="E31" s="326"/>
      <c r="F31" s="326"/>
      <c r="G31" s="326"/>
      <c r="H31" s="326"/>
    </row>
    <row r="32" spans="1:8" ht="2" customHeight="1" x14ac:dyDescent="0.35">
      <c r="A32" s="326"/>
      <c r="B32" s="326"/>
      <c r="C32" s="326"/>
      <c r="D32" s="326"/>
      <c r="E32" s="326"/>
      <c r="F32" s="326"/>
      <c r="G32" s="326"/>
      <c r="H32" s="326"/>
    </row>
    <row r="33" spans="1:8" ht="21" customHeight="1" x14ac:dyDescent="0.35">
      <c r="A33" s="326"/>
      <c r="B33" s="326"/>
      <c r="C33" s="326"/>
      <c r="D33" s="326"/>
      <c r="E33" s="326"/>
      <c r="F33" s="326"/>
      <c r="G33" s="326"/>
      <c r="H33" s="326"/>
    </row>
    <row r="34" spans="1:8" ht="26" customHeight="1" x14ac:dyDescent="0.35">
      <c r="A34" s="326"/>
      <c r="B34" s="326"/>
      <c r="C34" s="326"/>
      <c r="D34" s="326"/>
      <c r="E34" s="326"/>
      <c r="F34" s="326"/>
      <c r="G34" s="326"/>
      <c r="H34" s="326"/>
    </row>
    <row r="35" spans="1:8" ht="19.5" customHeight="1" x14ac:dyDescent="0.35">
      <c r="A35" s="1"/>
      <c r="B35" s="1"/>
      <c r="C35" s="1"/>
      <c r="D35" s="1"/>
      <c r="E35" s="1"/>
      <c r="F35" s="1"/>
      <c r="G35" s="1"/>
      <c r="H35" s="1"/>
    </row>
    <row r="36" spans="1:8" ht="19.5" customHeight="1" x14ac:dyDescent="0.35">
      <c r="A36" s="1"/>
      <c r="B36" s="1"/>
      <c r="C36" s="1"/>
      <c r="D36" s="1"/>
      <c r="E36" s="1"/>
      <c r="F36" s="1"/>
      <c r="G36" s="1"/>
      <c r="H36" s="1"/>
    </row>
    <row r="37" spans="1:8" ht="22" customHeight="1" x14ac:dyDescent="0.35">
      <c r="A37" s="289" t="s">
        <v>484</v>
      </c>
      <c r="B37" s="289"/>
      <c r="C37" s="289"/>
      <c r="D37" s="289"/>
      <c r="E37" s="289"/>
      <c r="F37" s="289"/>
      <c r="G37" s="289"/>
      <c r="H37" s="289"/>
    </row>
    <row r="38" spans="1:8" ht="28" customHeight="1" x14ac:dyDescent="0.35">
      <c r="A38" s="142" t="s">
        <v>201</v>
      </c>
      <c r="B38" s="142" t="s">
        <v>202</v>
      </c>
      <c r="C38" s="142" t="s">
        <v>329</v>
      </c>
      <c r="D38" s="296" t="s">
        <v>204</v>
      </c>
      <c r="E38" s="296"/>
      <c r="F38" s="296"/>
      <c r="G38" s="296"/>
      <c r="H38" s="296"/>
    </row>
    <row r="39" spans="1:8" ht="58" x14ac:dyDescent="0.35">
      <c r="A39" s="158" t="s">
        <v>485</v>
      </c>
      <c r="B39" s="184" t="str">
        <f>IF(COUNT(B6:F10)=25,"PASS","REVIEW")</f>
        <v>PASS</v>
      </c>
      <c r="C39" s="185" t="s">
        <v>490</v>
      </c>
      <c r="D39" s="317" t="s">
        <v>496</v>
      </c>
      <c r="E39" s="317"/>
      <c r="F39" s="317"/>
      <c r="G39" s="317"/>
      <c r="H39" s="317"/>
    </row>
    <row r="40" spans="1:8" ht="58" x14ac:dyDescent="0.35">
      <c r="A40" s="34" t="s">
        <v>439</v>
      </c>
      <c r="B40" s="49" t="str">
        <f>IF(MIN(A6:A10)&gt;MAX(B5:F5),"PASS","REVIEW")</f>
        <v>PASS</v>
      </c>
      <c r="C40" s="50" t="s">
        <v>491</v>
      </c>
      <c r="D40" s="318" t="s">
        <v>497</v>
      </c>
      <c r="E40" s="318"/>
      <c r="F40" s="318"/>
      <c r="G40" s="318"/>
      <c r="H40" s="318"/>
    </row>
    <row r="41" spans="1:8" ht="43.5" x14ac:dyDescent="0.35">
      <c r="A41" s="162" t="s">
        <v>486</v>
      </c>
      <c r="B41" s="147" t="str">
        <f>IF(ABS(D8-DCF!B9)&lt;0.01,"PASS","REVIEW")</f>
        <v>PASS</v>
      </c>
      <c r="C41" s="186" t="s">
        <v>492</v>
      </c>
      <c r="D41" s="319" t="s">
        <v>498</v>
      </c>
      <c r="E41" s="319"/>
      <c r="F41" s="319"/>
      <c r="G41" s="319"/>
      <c r="H41" s="319"/>
    </row>
    <row r="42" spans="1:8" ht="58" x14ac:dyDescent="0.35">
      <c r="A42" s="34" t="s">
        <v>487</v>
      </c>
      <c r="B42" s="49" t="str">
        <f>IF(AND(D6&gt;D7,D7&gt;D8,D8&gt;D9,D9&gt;D10),"PASS","REVIEW")</f>
        <v>PASS</v>
      </c>
      <c r="C42" s="50" t="s">
        <v>493</v>
      </c>
      <c r="D42" s="318" t="s">
        <v>499</v>
      </c>
      <c r="E42" s="318"/>
      <c r="F42" s="318"/>
      <c r="G42" s="318"/>
      <c r="H42" s="318"/>
    </row>
    <row r="43" spans="1:8" ht="58" x14ac:dyDescent="0.35">
      <c r="A43" s="162" t="s">
        <v>488</v>
      </c>
      <c r="B43" s="147" t="str">
        <f>IF(AND(B8&lt;C8,C8&lt;D8,D8&lt;E8,E8&lt;F8),"PASS","REVIEW")</f>
        <v>PASS</v>
      </c>
      <c r="C43" s="186" t="s">
        <v>494</v>
      </c>
      <c r="D43" s="319" t="s">
        <v>499</v>
      </c>
      <c r="E43" s="319"/>
      <c r="F43" s="319"/>
      <c r="G43" s="319"/>
      <c r="H43" s="319"/>
    </row>
    <row r="44" spans="1:8" ht="72.5" x14ac:dyDescent="0.35">
      <c r="A44" s="32" t="s">
        <v>489</v>
      </c>
      <c r="B44" s="27" t="str">
        <f>IF(AND(C9&lt;E7,C9&gt;0),"PASS","REVIEW")</f>
        <v>PASS</v>
      </c>
      <c r="C44" s="20" t="s">
        <v>495</v>
      </c>
      <c r="D44" s="288" t="s">
        <v>500</v>
      </c>
      <c r="E44" s="288"/>
      <c r="F44" s="288"/>
      <c r="G44" s="288"/>
      <c r="H44" s="288"/>
    </row>
    <row r="45" spans="1:8" ht="19.5" customHeight="1" x14ac:dyDescent="0.35"/>
    <row r="46" spans="1:8" ht="19.5" customHeight="1" x14ac:dyDescent="0.35"/>
    <row r="47" spans="1:8" ht="19.5" customHeight="1" x14ac:dyDescent="0.35"/>
    <row r="48" spans="1:8" ht="19.5" customHeight="1" x14ac:dyDescent="0.35"/>
    <row r="49" customFormat="1" ht="19.5" customHeight="1" x14ac:dyDescent="0.35"/>
    <row r="50" customFormat="1" ht="19.5" customHeight="1" x14ac:dyDescent="0.35"/>
    <row r="51" customFormat="1" ht="19.5" customHeight="1" x14ac:dyDescent="0.35"/>
    <row r="52" customFormat="1" ht="19.5" customHeight="1" x14ac:dyDescent="0.35"/>
    <row r="53" customFormat="1" ht="19.5" customHeight="1" x14ac:dyDescent="0.35"/>
    <row r="54" customFormat="1" ht="19.5" customHeight="1" x14ac:dyDescent="0.35"/>
    <row r="55" customFormat="1" ht="19.5" customHeight="1" x14ac:dyDescent="0.35"/>
    <row r="56" customFormat="1" ht="19.5" customHeight="1" x14ac:dyDescent="0.35"/>
    <row r="57" customFormat="1" ht="19.5" customHeight="1" x14ac:dyDescent="0.35"/>
    <row r="58" customFormat="1" ht="19.5" customHeight="1" x14ac:dyDescent="0.35"/>
    <row r="59" customFormat="1" ht="19.5" customHeight="1" x14ac:dyDescent="0.35"/>
    <row r="60" customFormat="1" ht="19.5" customHeight="1" x14ac:dyDescent="0.35"/>
    <row r="61" customFormat="1" ht="19.5" customHeight="1" x14ac:dyDescent="0.35"/>
    <row r="62" customFormat="1" ht="19.5" customHeight="1" x14ac:dyDescent="0.35"/>
    <row r="63" customFormat="1" ht="19.5" customHeight="1" x14ac:dyDescent="0.35"/>
    <row r="64" customFormat="1" ht="19.5" customHeight="1" x14ac:dyDescent="0.35"/>
    <row r="65" customFormat="1" ht="19.5" customHeight="1" x14ac:dyDescent="0.35"/>
    <row r="66" customFormat="1" ht="19.5" customHeight="1" x14ac:dyDescent="0.35"/>
    <row r="67" customFormat="1" ht="19.5" customHeight="1" x14ac:dyDescent="0.35"/>
    <row r="68" customFormat="1" ht="19.5" customHeight="1" x14ac:dyDescent="0.35"/>
    <row r="69" customFormat="1" ht="19.5" customHeight="1" x14ac:dyDescent="0.35"/>
    <row r="70" customFormat="1" ht="19.5" customHeight="1" x14ac:dyDescent="0.35"/>
    <row r="71" customFormat="1" ht="19.5" customHeight="1" x14ac:dyDescent="0.35"/>
    <row r="72" customFormat="1" ht="19.5" customHeight="1" x14ac:dyDescent="0.35"/>
    <row r="73" customFormat="1" ht="19.5" customHeight="1" x14ac:dyDescent="0.35"/>
    <row r="74" customFormat="1" ht="19.5" customHeight="1" x14ac:dyDescent="0.35"/>
    <row r="75" customFormat="1" ht="19.5" customHeight="1" x14ac:dyDescent="0.35"/>
    <row r="76" customFormat="1" ht="19.5" customHeight="1" x14ac:dyDescent="0.35"/>
    <row r="77" customFormat="1" ht="19.5" customHeight="1" x14ac:dyDescent="0.35"/>
    <row r="78" customFormat="1" ht="19.5" customHeight="1" x14ac:dyDescent="0.35"/>
  </sheetData>
  <mergeCells count="30">
    <mergeCell ref="D44:H44"/>
    <mergeCell ref="D27:H27"/>
    <mergeCell ref="D28:H28"/>
    <mergeCell ref="A30:H30"/>
    <mergeCell ref="A31:H34"/>
    <mergeCell ref="A37:H37"/>
    <mergeCell ref="D38:H38"/>
    <mergeCell ref="D39:H39"/>
    <mergeCell ref="D40:H40"/>
    <mergeCell ref="D41:H41"/>
    <mergeCell ref="D42:H42"/>
    <mergeCell ref="D43:H43"/>
    <mergeCell ref="D26:H26"/>
    <mergeCell ref="G9:H9"/>
    <mergeCell ref="G10:H10"/>
    <mergeCell ref="A13:H13"/>
    <mergeCell ref="G15:H15"/>
    <mergeCell ref="G16:H16"/>
    <mergeCell ref="G17:H17"/>
    <mergeCell ref="G18:H18"/>
    <mergeCell ref="G19:H19"/>
    <mergeCell ref="A22:H22"/>
    <mergeCell ref="D24:H24"/>
    <mergeCell ref="D25:H25"/>
    <mergeCell ref="G8:H8"/>
    <mergeCell ref="A1:H1"/>
    <mergeCell ref="A2:H2"/>
    <mergeCell ref="A4:H4"/>
    <mergeCell ref="G6:H6"/>
    <mergeCell ref="G7:H7"/>
  </mergeCells>
  <conditionalFormatting sqref="B6:F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5:F1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B9BD5"/>
    <pageSetUpPr autoPageBreaks="0"/>
  </sheetPr>
  <dimension ref="A1:H78"/>
  <sheetViews>
    <sheetView showGridLines="0" topLeftCell="A43" zoomScaleNormal="100" workbookViewId="0">
      <selection activeCell="A52" sqref="A52"/>
    </sheetView>
  </sheetViews>
  <sheetFormatPr defaultColWidth="8.7265625" defaultRowHeight="14.5" x14ac:dyDescent="0.35"/>
  <cols>
    <col min="1" max="1" width="21.81640625" customWidth="1"/>
    <col min="2" max="2" width="14.54296875" customWidth="1"/>
    <col min="3" max="3" width="36.36328125" customWidth="1"/>
    <col min="4" max="4" width="10.90625" customWidth="1"/>
    <col min="5" max="5" width="10" customWidth="1"/>
    <col min="6" max="6" width="14.54296875" customWidth="1"/>
    <col min="7" max="7" width="12.7265625" customWidth="1"/>
    <col min="8" max="8" width="36.36328125" customWidth="1"/>
    <col min="9" max="14" width="14" customWidth="1"/>
  </cols>
  <sheetData>
    <row r="1" spans="1:8" ht="23.5" x14ac:dyDescent="0.55000000000000004">
      <c r="A1" s="293" t="s">
        <v>83</v>
      </c>
      <c r="B1" s="293"/>
      <c r="C1" s="293"/>
      <c r="D1" s="293"/>
      <c r="E1" s="293"/>
      <c r="F1" s="293"/>
      <c r="G1" s="293"/>
      <c r="H1" s="293"/>
    </row>
    <row r="2" spans="1:8" x14ac:dyDescent="0.35">
      <c r="A2" s="294" t="s">
        <v>501</v>
      </c>
      <c r="B2" s="294"/>
      <c r="C2" s="294"/>
      <c r="D2" s="294"/>
      <c r="E2" s="294"/>
      <c r="F2" s="294"/>
      <c r="G2" s="294"/>
      <c r="H2" s="294"/>
    </row>
    <row r="3" spans="1:8" x14ac:dyDescent="0.35">
      <c r="A3" s="1"/>
      <c r="B3" s="1"/>
      <c r="C3" s="1"/>
      <c r="D3" s="1"/>
      <c r="E3" s="1"/>
      <c r="F3" s="1"/>
      <c r="G3" s="1"/>
      <c r="H3" s="1"/>
    </row>
    <row r="4" spans="1:8" x14ac:dyDescent="0.35">
      <c r="A4" s="289" t="s">
        <v>502</v>
      </c>
      <c r="B4" s="289"/>
      <c r="C4" s="289"/>
      <c r="D4" s="289"/>
      <c r="E4" s="289"/>
      <c r="F4" s="289"/>
      <c r="G4" s="289"/>
      <c r="H4" s="289"/>
    </row>
    <row r="5" spans="1:8" x14ac:dyDescent="0.35">
      <c r="A5" s="142" t="s">
        <v>60</v>
      </c>
      <c r="B5" s="142" t="s">
        <v>503</v>
      </c>
      <c r="C5" s="231" t="s">
        <v>84</v>
      </c>
      <c r="D5" s="142" t="s">
        <v>504</v>
      </c>
      <c r="E5" s="142" t="s">
        <v>766</v>
      </c>
      <c r="F5" s="142" t="s">
        <v>505</v>
      </c>
      <c r="G5" s="142" t="s">
        <v>348</v>
      </c>
      <c r="H5" s="231" t="s">
        <v>506</v>
      </c>
    </row>
    <row r="6" spans="1:8" ht="58" x14ac:dyDescent="0.35">
      <c r="A6" s="262" t="s">
        <v>63</v>
      </c>
      <c r="B6" s="145" t="s">
        <v>507</v>
      </c>
      <c r="C6" s="149" t="s">
        <v>508</v>
      </c>
      <c r="D6" s="232">
        <v>4.5</v>
      </c>
      <c r="E6" s="232" t="s">
        <v>48</v>
      </c>
      <c r="F6" s="233" t="s">
        <v>85</v>
      </c>
      <c r="G6" s="191" t="s">
        <v>24</v>
      </c>
      <c r="H6" s="234" t="s">
        <v>509</v>
      </c>
    </row>
    <row r="7" spans="1:8" ht="58" x14ac:dyDescent="0.35">
      <c r="A7" s="263" t="s">
        <v>64</v>
      </c>
      <c r="B7" s="235" t="s">
        <v>510</v>
      </c>
      <c r="C7" s="236" t="s">
        <v>511</v>
      </c>
      <c r="D7" s="237">
        <v>11</v>
      </c>
      <c r="E7" s="237">
        <v>28</v>
      </c>
      <c r="F7" s="238" t="s">
        <v>512</v>
      </c>
      <c r="G7" s="239" t="s">
        <v>24</v>
      </c>
      <c r="H7" s="240" t="s">
        <v>513</v>
      </c>
    </row>
    <row r="8" spans="1:8" ht="43.5" x14ac:dyDescent="0.35">
      <c r="A8" s="241" t="s">
        <v>65</v>
      </c>
      <c r="B8" s="146" t="s">
        <v>514</v>
      </c>
      <c r="C8" s="148" t="s">
        <v>515</v>
      </c>
      <c r="D8" s="242">
        <v>6</v>
      </c>
      <c r="E8" s="242" t="s">
        <v>48</v>
      </c>
      <c r="F8" s="243" t="s">
        <v>85</v>
      </c>
      <c r="G8" s="195" t="s">
        <v>24</v>
      </c>
      <c r="H8" s="244" t="s">
        <v>516</v>
      </c>
    </row>
    <row r="9" spans="1:8" ht="43.5" x14ac:dyDescent="0.35">
      <c r="A9" s="69" t="s">
        <v>66</v>
      </c>
      <c r="B9" s="55" t="s">
        <v>517</v>
      </c>
      <c r="C9" s="62" t="s">
        <v>518</v>
      </c>
      <c r="D9" s="79">
        <v>5</v>
      </c>
      <c r="E9" s="79" t="s">
        <v>48</v>
      </c>
      <c r="F9" s="80" t="s">
        <v>85</v>
      </c>
      <c r="G9" s="59" t="s">
        <v>24</v>
      </c>
      <c r="H9" s="81" t="s">
        <v>519</v>
      </c>
    </row>
    <row r="10" spans="1:8" ht="58" x14ac:dyDescent="0.35">
      <c r="A10" s="136" t="s">
        <v>67</v>
      </c>
      <c r="B10" s="143" t="s">
        <v>520</v>
      </c>
      <c r="C10" s="137" t="s">
        <v>521</v>
      </c>
      <c r="D10" s="245">
        <v>7</v>
      </c>
      <c r="E10" s="245" t="s">
        <v>48</v>
      </c>
      <c r="F10" s="246" t="s">
        <v>85</v>
      </c>
      <c r="G10" s="198" t="s">
        <v>24</v>
      </c>
      <c r="H10" s="139" t="s">
        <v>522</v>
      </c>
    </row>
    <row r="11" spans="1:8" x14ac:dyDescent="0.35">
      <c r="A11" s="289" t="s">
        <v>805</v>
      </c>
      <c r="B11" s="289"/>
      <c r="C11" s="289"/>
      <c r="D11" s="289"/>
      <c r="E11" s="289"/>
      <c r="F11" s="289"/>
      <c r="G11" s="289"/>
      <c r="H11" s="289"/>
    </row>
    <row r="12" spans="1:8" ht="45" customHeight="1" x14ac:dyDescent="0.35">
      <c r="A12" s="356" t="s">
        <v>806</v>
      </c>
      <c r="B12" s="356"/>
      <c r="C12" s="356"/>
      <c r="D12" s="356"/>
      <c r="E12" s="356"/>
      <c r="F12" s="356"/>
      <c r="G12" s="356"/>
      <c r="H12" s="356"/>
    </row>
    <row r="13" spans="1:8" x14ac:dyDescent="0.35">
      <c r="A13" s="289" t="s">
        <v>523</v>
      </c>
      <c r="B13" s="289"/>
      <c r="C13" s="289"/>
      <c r="D13" s="289"/>
      <c r="E13" s="289"/>
      <c r="F13" s="289"/>
      <c r="G13" s="289"/>
      <c r="H13" s="289"/>
    </row>
    <row r="14" spans="1:8" x14ac:dyDescent="0.35">
      <c r="A14" s="158" t="s">
        <v>524</v>
      </c>
      <c r="B14" s="228">
        <f>Projections!B8</f>
        <v>1195.2850000000001</v>
      </c>
      <c r="C14" s="317" t="s">
        <v>531</v>
      </c>
      <c r="D14" s="317"/>
      <c r="E14" s="317"/>
      <c r="F14" s="317"/>
      <c r="G14" s="317"/>
      <c r="H14" s="317"/>
    </row>
    <row r="15" spans="1:8" x14ac:dyDescent="0.35">
      <c r="A15" s="34" t="s">
        <v>525</v>
      </c>
      <c r="B15" s="83">
        <f>MEDIAN(D6,D8:D10)</f>
        <v>5.5</v>
      </c>
      <c r="C15" s="318" t="s">
        <v>532</v>
      </c>
      <c r="D15" s="318"/>
      <c r="E15" s="318"/>
      <c r="F15" s="318"/>
      <c r="G15" s="318"/>
      <c r="H15" s="318"/>
    </row>
    <row r="16" spans="1:8" x14ac:dyDescent="0.35">
      <c r="A16" s="162" t="s">
        <v>526</v>
      </c>
      <c r="B16" s="247">
        <f>AVERAGE(D6,D8:D10)</f>
        <v>5.625</v>
      </c>
      <c r="C16" s="319" t="s">
        <v>533</v>
      </c>
      <c r="D16" s="319"/>
      <c r="E16" s="319"/>
      <c r="F16" s="319"/>
      <c r="G16" s="319"/>
      <c r="H16" s="319"/>
    </row>
    <row r="17" spans="1:8" x14ac:dyDescent="0.35">
      <c r="A17" s="34" t="s">
        <v>86</v>
      </c>
      <c r="B17" s="84">
        <v>5</v>
      </c>
      <c r="C17" s="318" t="s">
        <v>534</v>
      </c>
      <c r="D17" s="318"/>
      <c r="E17" s="318"/>
      <c r="F17" s="318"/>
      <c r="G17" s="318"/>
      <c r="H17" s="318"/>
    </row>
    <row r="18" spans="1:8" x14ac:dyDescent="0.35">
      <c r="A18" s="162" t="s">
        <v>87</v>
      </c>
      <c r="B18" s="248">
        <v>7.5</v>
      </c>
      <c r="C18" s="319" t="s">
        <v>535</v>
      </c>
      <c r="D18" s="319"/>
      <c r="E18" s="319"/>
      <c r="F18" s="319"/>
      <c r="G18" s="319"/>
      <c r="H18" s="319"/>
    </row>
    <row r="19" spans="1:8" x14ac:dyDescent="0.35">
      <c r="A19" s="34" t="s">
        <v>527</v>
      </c>
      <c r="B19" s="78">
        <f>B14*B15</f>
        <v>6574.0675000000001</v>
      </c>
      <c r="C19" s="318" t="s">
        <v>536</v>
      </c>
      <c r="D19" s="318"/>
      <c r="E19" s="318"/>
      <c r="F19" s="318"/>
      <c r="G19" s="318"/>
      <c r="H19" s="318"/>
    </row>
    <row r="20" spans="1:8" x14ac:dyDescent="0.35">
      <c r="A20" s="261" t="s">
        <v>528</v>
      </c>
      <c r="B20" s="249">
        <f>B14*B16</f>
        <v>6723.4781250000005</v>
      </c>
      <c r="C20" s="319" t="s">
        <v>537</v>
      </c>
      <c r="D20" s="319"/>
      <c r="E20" s="319"/>
      <c r="F20" s="319"/>
      <c r="G20" s="319"/>
      <c r="H20" s="319"/>
    </row>
    <row r="21" spans="1:8" x14ac:dyDescent="0.35">
      <c r="A21" s="172" t="s">
        <v>529</v>
      </c>
      <c r="B21" s="250">
        <f>B14*B17</f>
        <v>5976.4250000000002</v>
      </c>
      <c r="C21" s="328" t="s">
        <v>538</v>
      </c>
      <c r="D21" s="328"/>
      <c r="E21" s="328"/>
      <c r="F21" s="328"/>
      <c r="G21" s="328"/>
      <c r="H21" s="328"/>
    </row>
    <row r="22" spans="1:8" x14ac:dyDescent="0.35">
      <c r="A22" s="131" t="s">
        <v>530</v>
      </c>
      <c r="B22" s="251">
        <f>B14*B18</f>
        <v>8964.6375000000007</v>
      </c>
      <c r="C22" s="329" t="s">
        <v>539</v>
      </c>
      <c r="D22" s="329"/>
      <c r="E22" s="329"/>
      <c r="F22" s="329"/>
      <c r="G22" s="329"/>
      <c r="H22" s="329"/>
    </row>
    <row r="23" spans="1:8" x14ac:dyDescent="0.35">
      <c r="A23" s="1"/>
      <c r="B23" s="1"/>
      <c r="C23" s="1"/>
      <c r="D23" s="1"/>
      <c r="E23" s="1"/>
      <c r="F23" s="1"/>
      <c r="G23" s="1"/>
      <c r="H23" s="1"/>
    </row>
    <row r="24" spans="1:8" x14ac:dyDescent="0.35">
      <c r="A24" s="1"/>
      <c r="B24" s="1"/>
      <c r="C24" s="1"/>
      <c r="D24" s="1"/>
      <c r="E24" s="1"/>
      <c r="F24" s="1"/>
      <c r="G24" s="1"/>
      <c r="H24" s="1"/>
    </row>
    <row r="25" spans="1:8" x14ac:dyDescent="0.35">
      <c r="A25" s="289" t="s">
        <v>540</v>
      </c>
      <c r="B25" s="289"/>
      <c r="C25" s="289"/>
      <c r="D25" s="289"/>
      <c r="E25" s="289"/>
      <c r="F25" s="289"/>
      <c r="G25" s="289"/>
      <c r="H25" s="289"/>
    </row>
    <row r="26" spans="1:8" x14ac:dyDescent="0.35">
      <c r="A26" s="142" t="s">
        <v>26</v>
      </c>
      <c r="B26" s="142" t="s">
        <v>541</v>
      </c>
      <c r="C26" s="142" t="s">
        <v>542</v>
      </c>
      <c r="D26" s="142" t="s">
        <v>204</v>
      </c>
      <c r="E26" s="142"/>
      <c r="F26" s="142"/>
      <c r="G26" s="142"/>
      <c r="H26" s="142"/>
    </row>
    <row r="27" spans="1:8" x14ac:dyDescent="0.35">
      <c r="A27" s="158" t="s">
        <v>403</v>
      </c>
      <c r="B27" s="228">
        <f>B21</f>
        <v>5976.4250000000002</v>
      </c>
      <c r="C27" s="228">
        <f>B22</f>
        <v>8964.6375000000007</v>
      </c>
      <c r="D27" s="317" t="s">
        <v>545</v>
      </c>
      <c r="E27" s="317"/>
      <c r="F27" s="317"/>
      <c r="G27" s="317"/>
      <c r="H27" s="317"/>
    </row>
    <row r="28" spans="1:8" ht="29" x14ac:dyDescent="0.35">
      <c r="A28" s="260" t="s">
        <v>543</v>
      </c>
      <c r="B28" s="78">
        <f>DCF!B10+DCF!B11</f>
        <v>4755.3999999999996</v>
      </c>
      <c r="C28" s="78">
        <f>B28</f>
        <v>4755.3999999999996</v>
      </c>
      <c r="D28" s="318" t="s">
        <v>546</v>
      </c>
      <c r="E28" s="318"/>
      <c r="F28" s="318"/>
      <c r="G28" s="318"/>
      <c r="H28" s="318"/>
    </row>
    <row r="29" spans="1:8" x14ac:dyDescent="0.35">
      <c r="A29" s="162" t="s">
        <v>406</v>
      </c>
      <c r="B29" s="249">
        <f>B27-B28</f>
        <v>1221.0250000000005</v>
      </c>
      <c r="C29" s="249">
        <f>C27-C28</f>
        <v>4209.2375000000011</v>
      </c>
      <c r="D29" s="319" t="s">
        <v>547</v>
      </c>
      <c r="E29" s="319"/>
      <c r="F29" s="319"/>
      <c r="G29" s="319"/>
      <c r="H29" s="319"/>
    </row>
    <row r="30" spans="1:8" ht="29" x14ac:dyDescent="0.35">
      <c r="A30" s="260" t="s">
        <v>791</v>
      </c>
      <c r="B30" s="78">
        <f>Assumptions!B27</f>
        <v>417.00622079999999</v>
      </c>
      <c r="C30" s="78">
        <f>B30</f>
        <v>417.00622079999999</v>
      </c>
      <c r="D30" s="318" t="s">
        <v>817</v>
      </c>
      <c r="E30" s="318"/>
      <c r="F30" s="318"/>
      <c r="G30" s="318"/>
      <c r="H30" s="318"/>
    </row>
    <row r="31" spans="1:8" ht="29" x14ac:dyDescent="0.35">
      <c r="A31" s="385" t="s">
        <v>544</v>
      </c>
      <c r="B31" s="252">
        <f>B29/B30</f>
        <v>2.9280738250320137</v>
      </c>
      <c r="C31" s="252">
        <f>C29/C30</f>
        <v>10.093944142907139</v>
      </c>
      <c r="D31" s="325" t="s">
        <v>818</v>
      </c>
      <c r="E31" s="325"/>
      <c r="F31" s="325"/>
      <c r="G31" s="325"/>
      <c r="H31" s="325"/>
    </row>
    <row r="32" spans="1:8" x14ac:dyDescent="0.35">
      <c r="A32" s="1"/>
      <c r="B32" s="1"/>
      <c r="C32" s="1"/>
      <c r="D32" s="1"/>
      <c r="E32" s="1"/>
      <c r="F32" s="1"/>
      <c r="G32" s="1"/>
      <c r="H32" s="1"/>
    </row>
    <row r="33" spans="1:8" x14ac:dyDescent="0.35">
      <c r="A33" s="289" t="s">
        <v>548</v>
      </c>
      <c r="B33" s="289"/>
      <c r="C33" s="289"/>
      <c r="D33" s="289"/>
      <c r="E33" s="289"/>
      <c r="F33" s="289"/>
      <c r="G33" s="289"/>
      <c r="H33" s="289"/>
    </row>
    <row r="34" spans="1:8" x14ac:dyDescent="0.35">
      <c r="A34" s="326" t="str">
        <f>"The core peer set values SES at €"&amp;TEXT(B21/1000,"0.0")&amp;"bn to €"&amp;TEXT(B22/1000,"0.0")&amp;"bn of enterprise value, equivalent to approximately €"&amp;TEXT(B31,"0.00")&amp;" to €"&amp;TEXT(C31,"0.00")&amp;" per share after the current valuation bridge. The core median is "&amp;TEXT(B15,"0.0x")&amp;" and the core mean is "&amp;TEXT(B16,"0.0x")&amp;". This range remains below the €"&amp;TEXT(DCF!B9/1000,"0.0")&amp;_xlfn._LONGTEXT("bn Base-case DCF, indicating that the peer framework prices leverage, integration, and capital-intensity risk more heavily than the intrinsic-value model. EV/EBITDA is emphasized because depreciation and financing structure make P/E less comparable across"," this peer group.")</f>
        <v>The core peer set values SES at €6.0bn to €9.0bn of enterprise value, equivalent to approximately €2.93 to €10.09 per share after the current valuation bridge. The core median is 5.5x and the core mean is 5.6x. This range remains below the €11.8bn Base-case DCF, indicating that the peer framework prices leverage, integration, and capital-intensity risk more heavily than the intrinsic-value model. EV/EBITDA is emphasized because depreciation and financing structure make P/E less comparable across this peer group.</v>
      </c>
      <c r="B34" s="326"/>
      <c r="C34" s="326"/>
      <c r="D34" s="326"/>
      <c r="E34" s="326"/>
      <c r="F34" s="326"/>
      <c r="G34" s="326"/>
      <c r="H34" s="326"/>
    </row>
    <row r="35" spans="1:8" x14ac:dyDescent="0.35">
      <c r="A35" s="326"/>
      <c r="B35" s="326"/>
      <c r="C35" s="326"/>
      <c r="D35" s="326"/>
      <c r="E35" s="326"/>
      <c r="F35" s="326"/>
      <c r="G35" s="326"/>
      <c r="H35" s="326"/>
    </row>
    <row r="36" spans="1:8" x14ac:dyDescent="0.35">
      <c r="A36" s="326"/>
      <c r="B36" s="326"/>
      <c r="C36" s="326"/>
      <c r="D36" s="326"/>
      <c r="E36" s="326"/>
      <c r="F36" s="326"/>
      <c r="G36" s="326"/>
      <c r="H36" s="326"/>
    </row>
    <row r="37" spans="1:8" x14ac:dyDescent="0.35">
      <c r="A37" s="326"/>
      <c r="B37" s="326"/>
      <c r="C37" s="326"/>
      <c r="D37" s="326"/>
      <c r="E37" s="326"/>
      <c r="F37" s="326"/>
      <c r="G37" s="326"/>
      <c r="H37" s="326"/>
    </row>
    <row r="38" spans="1:8" x14ac:dyDescent="0.35">
      <c r="A38" s="1"/>
      <c r="B38" s="1"/>
      <c r="C38" s="1"/>
      <c r="D38" s="2"/>
      <c r="E38" s="2"/>
      <c r="F38" s="2"/>
      <c r="G38" s="2"/>
      <c r="H38" s="2"/>
    </row>
    <row r="39" spans="1:8" x14ac:dyDescent="0.35">
      <c r="A39" s="289" t="s">
        <v>549</v>
      </c>
      <c r="B39" s="289"/>
      <c r="C39" s="289"/>
      <c r="D39" s="289"/>
      <c r="E39" s="289"/>
      <c r="F39" s="289"/>
      <c r="G39" s="289"/>
      <c r="H39" s="289"/>
    </row>
    <row r="40" spans="1:8" x14ac:dyDescent="0.35">
      <c r="A40" s="142" t="s">
        <v>428</v>
      </c>
      <c r="B40" s="142" t="s">
        <v>179</v>
      </c>
      <c r="C40" s="142" t="s">
        <v>550</v>
      </c>
      <c r="D40" s="142" t="s">
        <v>204</v>
      </c>
      <c r="E40" s="142"/>
      <c r="F40" s="142"/>
      <c r="G40" s="142"/>
      <c r="H40" s="142"/>
    </row>
    <row r="41" spans="1:8" ht="29" x14ac:dyDescent="0.35">
      <c r="A41" s="63" t="s">
        <v>551</v>
      </c>
      <c r="B41" s="82">
        <f>MAX(D6,D8:D10)-MIN(D6,D8:D10)</f>
        <v>2.5</v>
      </c>
      <c r="C41" s="43" t="s">
        <v>554</v>
      </c>
      <c r="D41" s="303" t="s">
        <v>557</v>
      </c>
      <c r="E41" s="303"/>
      <c r="F41" s="303"/>
      <c r="G41" s="303"/>
      <c r="H41" s="303"/>
    </row>
    <row r="42" spans="1:8" ht="29" x14ac:dyDescent="0.35">
      <c r="A42" s="63" t="s">
        <v>552</v>
      </c>
      <c r="B42" s="61">
        <f>DCF!B9/AVERAGE(B21,B22)-1</f>
        <v>0.57320191023960443</v>
      </c>
      <c r="C42" s="43" t="s">
        <v>555</v>
      </c>
      <c r="D42" s="303" t="s">
        <v>558</v>
      </c>
      <c r="E42" s="303"/>
      <c r="F42" s="303"/>
      <c r="G42" s="303"/>
      <c r="H42" s="303"/>
    </row>
    <row r="43" spans="1:8" ht="29" x14ac:dyDescent="0.35">
      <c r="A43" s="63" t="s">
        <v>553</v>
      </c>
      <c r="B43" s="61">
        <f>D7/B15-1</f>
        <v>1</v>
      </c>
      <c r="C43" s="43" t="s">
        <v>556</v>
      </c>
      <c r="D43" s="303" t="s">
        <v>559</v>
      </c>
      <c r="E43" s="303"/>
      <c r="F43" s="303"/>
      <c r="G43" s="303"/>
      <c r="H43" s="303"/>
    </row>
    <row r="44" spans="1:8" x14ac:dyDescent="0.35">
      <c r="A44" s="1"/>
      <c r="B44" s="1"/>
      <c r="C44" s="1"/>
      <c r="D44" s="1"/>
      <c r="E44" s="1"/>
      <c r="F44" s="1"/>
      <c r="G44" s="1"/>
      <c r="H44" s="1"/>
    </row>
    <row r="45" spans="1:8" x14ac:dyDescent="0.35">
      <c r="A45" s="289" t="s">
        <v>369</v>
      </c>
      <c r="B45" s="289"/>
      <c r="C45" s="289"/>
      <c r="D45" s="289"/>
      <c r="E45" s="289"/>
      <c r="F45" s="289"/>
      <c r="G45" s="289"/>
      <c r="H45" s="289"/>
    </row>
    <row r="46" spans="1:8" x14ac:dyDescent="0.35">
      <c r="A46" s="142" t="s">
        <v>201</v>
      </c>
      <c r="B46" s="142" t="s">
        <v>202</v>
      </c>
      <c r="C46" s="142" t="s">
        <v>329</v>
      </c>
      <c r="D46" s="296" t="s">
        <v>204</v>
      </c>
      <c r="E46" s="296"/>
      <c r="F46" s="296"/>
      <c r="G46" s="296"/>
      <c r="H46" s="296"/>
    </row>
    <row r="47" spans="1:8" ht="29" x14ac:dyDescent="0.35">
      <c r="A47" s="158" t="s">
        <v>560</v>
      </c>
      <c r="B47" s="184" t="str">
        <f>IF(COUNTA(A6:A10)=5,"PASS","REVIEW")</f>
        <v>PASS</v>
      </c>
      <c r="C47" s="185" t="s">
        <v>566</v>
      </c>
      <c r="D47" s="317" t="s">
        <v>572</v>
      </c>
      <c r="E47" s="317"/>
      <c r="F47" s="317"/>
      <c r="G47" s="317"/>
      <c r="H47" s="317"/>
    </row>
    <row r="48" spans="1:8" ht="29" x14ac:dyDescent="0.35">
      <c r="A48" s="260" t="s">
        <v>561</v>
      </c>
      <c r="B48" s="49" t="str">
        <f>IF(COUNT(D6,D8:D10)=4,"PASS","REVIEW")</f>
        <v>PASS</v>
      </c>
      <c r="C48" s="50" t="s">
        <v>567</v>
      </c>
      <c r="D48" s="318" t="s">
        <v>573</v>
      </c>
      <c r="E48" s="318"/>
      <c r="F48" s="318"/>
      <c r="G48" s="318"/>
      <c r="H48" s="318"/>
    </row>
    <row r="49" spans="1:8" ht="29" x14ac:dyDescent="0.35">
      <c r="A49" s="162" t="s">
        <v>562</v>
      </c>
      <c r="B49" s="147" t="str">
        <f>IF(B17&lt;B18,"PASS","REVIEW")</f>
        <v>PASS</v>
      </c>
      <c r="C49" s="186" t="s">
        <v>568</v>
      </c>
      <c r="D49" s="319" t="s">
        <v>574</v>
      </c>
      <c r="E49" s="319"/>
      <c r="F49" s="319"/>
      <c r="G49" s="319"/>
      <c r="H49" s="319"/>
    </row>
    <row r="50" spans="1:8" ht="29" x14ac:dyDescent="0.35">
      <c r="A50" s="260" t="s">
        <v>563</v>
      </c>
      <c r="B50" s="49" t="str">
        <f>IF(COUNT(B19:B22)=4,"PASS","REVIEW")</f>
        <v>PASS</v>
      </c>
      <c r="C50" s="50" t="s">
        <v>569</v>
      </c>
      <c r="D50" s="318" t="s">
        <v>496</v>
      </c>
      <c r="E50" s="318"/>
      <c r="F50" s="318"/>
      <c r="G50" s="318"/>
      <c r="H50" s="318"/>
    </row>
    <row r="51" spans="1:8" ht="29" x14ac:dyDescent="0.35">
      <c r="A51" s="261" t="s">
        <v>564</v>
      </c>
      <c r="B51" s="147" t="str">
        <f>IF(AND(B29&gt;0,C29&gt;B29),"PASS","REVIEW")</f>
        <v>PASS</v>
      </c>
      <c r="C51" s="186" t="s">
        <v>570</v>
      </c>
      <c r="D51" s="319" t="s">
        <v>575</v>
      </c>
      <c r="E51" s="319"/>
      <c r="F51" s="319"/>
      <c r="G51" s="319"/>
      <c r="H51" s="319"/>
    </row>
    <row r="52" spans="1:8" ht="29" x14ac:dyDescent="0.35">
      <c r="A52" s="384" t="s">
        <v>565</v>
      </c>
      <c r="B52" s="27" t="str">
        <f>IF(COUNTIF(H6:H10,"https://*")=5,"PASS","REVIEW")</f>
        <v>PASS</v>
      </c>
      <c r="C52" s="20" t="s">
        <v>571</v>
      </c>
      <c r="D52" s="288" t="s">
        <v>576</v>
      </c>
      <c r="E52" s="288"/>
      <c r="F52" s="288"/>
      <c r="G52" s="288"/>
      <c r="H52" s="288"/>
    </row>
    <row r="53" spans="1:8" ht="19.5" customHeight="1" x14ac:dyDescent="0.35"/>
    <row r="54" spans="1:8" ht="19.5" customHeight="1" x14ac:dyDescent="0.35"/>
    <row r="55" spans="1:8" ht="19.5" customHeight="1" x14ac:dyDescent="0.35"/>
    <row r="56" spans="1:8" ht="19.5" customHeight="1" x14ac:dyDescent="0.35"/>
    <row r="57" spans="1:8" ht="19.5" customHeight="1" x14ac:dyDescent="0.35"/>
    <row r="58" spans="1:8" ht="19.5" customHeight="1" x14ac:dyDescent="0.35"/>
    <row r="59" spans="1:8" ht="19.5" customHeight="1" x14ac:dyDescent="0.35"/>
    <row r="60" spans="1:8" ht="19.5" customHeight="1" x14ac:dyDescent="0.35"/>
    <row r="61" spans="1:8" ht="19.5" customHeight="1" x14ac:dyDescent="0.35"/>
    <row r="62" spans="1:8" ht="19.5" customHeight="1" x14ac:dyDescent="0.35"/>
    <row r="63" spans="1:8" ht="19.5" customHeight="1" x14ac:dyDescent="0.35"/>
    <row r="64" spans="1:8" ht="19.5" customHeight="1" x14ac:dyDescent="0.35"/>
    <row r="65" ht="19.5" customHeight="1" x14ac:dyDescent="0.35"/>
    <row r="66" ht="19.5" customHeight="1" x14ac:dyDescent="0.35"/>
    <row r="67" ht="19.5" customHeight="1" x14ac:dyDescent="0.35"/>
    <row r="68" ht="19.5" customHeight="1" x14ac:dyDescent="0.35"/>
    <row r="69" ht="19.5" customHeight="1" x14ac:dyDescent="0.35"/>
    <row r="70" ht="19.5" customHeight="1" x14ac:dyDescent="0.35"/>
    <row r="71" ht="19.5" customHeight="1" x14ac:dyDescent="0.35"/>
    <row r="72" ht="19.5" customHeight="1" x14ac:dyDescent="0.35"/>
    <row r="73" ht="19.5" customHeight="1" x14ac:dyDescent="0.35"/>
    <row r="74" ht="19.5" customHeight="1" x14ac:dyDescent="0.35"/>
    <row r="75" ht="19.5" customHeight="1" x14ac:dyDescent="0.35"/>
    <row r="76" ht="19.5" customHeight="1" x14ac:dyDescent="0.35"/>
    <row r="77" ht="19.5" customHeight="1" x14ac:dyDescent="0.35"/>
    <row r="78" ht="19.5" customHeight="1" x14ac:dyDescent="0.35"/>
  </sheetData>
  <mergeCells count="35">
    <mergeCell ref="D51:H51"/>
    <mergeCell ref="D52:H52"/>
    <mergeCell ref="D41:H41"/>
    <mergeCell ref="D42:H42"/>
    <mergeCell ref="D43:H43"/>
    <mergeCell ref="D46:H46"/>
    <mergeCell ref="A34:H37"/>
    <mergeCell ref="D47:H47"/>
    <mergeCell ref="D48:H48"/>
    <mergeCell ref="D49:H49"/>
    <mergeCell ref="D50:H50"/>
    <mergeCell ref="A39:H39"/>
    <mergeCell ref="A45:H45"/>
    <mergeCell ref="A1:H1"/>
    <mergeCell ref="A2:H2"/>
    <mergeCell ref="A13:H13"/>
    <mergeCell ref="A25:H25"/>
    <mergeCell ref="C19:H19"/>
    <mergeCell ref="C20:H20"/>
    <mergeCell ref="C21:H21"/>
    <mergeCell ref="C22:H22"/>
    <mergeCell ref="C14:H14"/>
    <mergeCell ref="C15:H15"/>
    <mergeCell ref="C16:H16"/>
    <mergeCell ref="C17:H17"/>
    <mergeCell ref="C18:H18"/>
    <mergeCell ref="A11:H11"/>
    <mergeCell ref="A12:H12"/>
    <mergeCell ref="A33:H33"/>
    <mergeCell ref="A4:H4"/>
    <mergeCell ref="D28:H28"/>
    <mergeCell ref="D29:H29"/>
    <mergeCell ref="D30:H30"/>
    <mergeCell ref="D31:H31"/>
    <mergeCell ref="D27:H27"/>
  </mergeCells>
  <printOptions horizontalCentered="1"/>
  <pageMargins left="0.75" right="0.75" top="1" bottom="1" header="0.511811023622047" footer="0.511811023622047"/>
  <pageSetup paperSize="9" orientation="portrait" horizontalDpi="300" verticalDpi="30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A6A6"/>
  </sheetPr>
  <dimension ref="A1:H78"/>
  <sheetViews>
    <sheetView showGridLines="0" topLeftCell="A36" zoomScaleNormal="100" workbookViewId="0">
      <selection activeCell="A33" sqref="A33"/>
    </sheetView>
  </sheetViews>
  <sheetFormatPr defaultColWidth="8.7265625" defaultRowHeight="14.5" x14ac:dyDescent="0.35"/>
  <cols>
    <col min="1" max="1" width="32.7265625" customWidth="1"/>
    <col min="2" max="5" width="14.54296875" customWidth="1"/>
    <col min="6" max="6" width="36.36328125" customWidth="1"/>
    <col min="7" max="8" width="13.6328125" customWidth="1"/>
    <col min="9" max="14" width="14" customWidth="1"/>
  </cols>
  <sheetData>
    <row r="1" spans="1:8" ht="23.5" x14ac:dyDescent="0.35">
      <c r="A1" s="270" t="s">
        <v>609</v>
      </c>
      <c r="B1" s="270"/>
      <c r="C1" s="270"/>
      <c r="D1" s="270"/>
      <c r="E1" s="270"/>
      <c r="F1" s="270"/>
      <c r="G1" s="270"/>
      <c r="H1" s="270"/>
    </row>
    <row r="2" spans="1:8" x14ac:dyDescent="0.35">
      <c r="A2" s="271" t="str">
        <f>"DCF sensitivity, comparable-company range, and "&amp;TEXT(Assumptions!B9,"0%")&amp;" / "&amp;TEXT(Assumptions!B10,"0%")&amp;" reconciliation | Enterprise value (€m)"</f>
        <v>DCF sensitivity, comparable-company range, and 60% / 40% reconciliation | Enterprise value (€m)</v>
      </c>
      <c r="B2" s="271"/>
      <c r="C2" s="271"/>
      <c r="D2" s="271"/>
      <c r="E2" s="271"/>
      <c r="F2" s="271"/>
      <c r="G2" s="271"/>
      <c r="H2" s="271"/>
    </row>
    <row r="3" spans="1:8" x14ac:dyDescent="0.35">
      <c r="A3" s="85"/>
      <c r="B3" s="85"/>
      <c r="C3" s="85"/>
      <c r="D3" s="85"/>
      <c r="E3" s="85"/>
      <c r="F3" s="85"/>
      <c r="G3" s="85"/>
      <c r="H3" s="85"/>
    </row>
    <row r="4" spans="1:8" x14ac:dyDescent="0.35">
      <c r="A4" s="265" t="s">
        <v>577</v>
      </c>
      <c r="B4" s="265"/>
      <c r="C4" s="265"/>
      <c r="D4" s="265"/>
      <c r="E4" s="265"/>
      <c r="F4" s="265"/>
      <c r="G4" s="265"/>
      <c r="H4" s="265"/>
    </row>
    <row r="5" spans="1:8" ht="29" customHeight="1" x14ac:dyDescent="0.35">
      <c r="A5" s="257" t="s">
        <v>88</v>
      </c>
      <c r="B5" s="257" t="s">
        <v>89</v>
      </c>
      <c r="C5" s="257" t="s">
        <v>90</v>
      </c>
      <c r="D5" s="257" t="s">
        <v>607</v>
      </c>
      <c r="E5" s="257" t="s">
        <v>608</v>
      </c>
      <c r="F5" s="257" t="s">
        <v>578</v>
      </c>
      <c r="G5" s="257" t="s">
        <v>579</v>
      </c>
      <c r="H5" s="257" t="s">
        <v>580</v>
      </c>
    </row>
    <row r="6" spans="1:8" ht="26" x14ac:dyDescent="0.35">
      <c r="A6" s="86" t="s">
        <v>91</v>
      </c>
      <c r="B6" s="87">
        <f>Sensitivity!C9</f>
        <v>10091.447023277391</v>
      </c>
      <c r="C6" s="87">
        <f>Sensitivity!E7</f>
        <v>14116.905832823428</v>
      </c>
      <c r="D6" s="253">
        <f>B6</f>
        <v>10091.447023277391</v>
      </c>
      <c r="E6" s="253">
        <f>C6-B6</f>
        <v>4025.4588095460367</v>
      </c>
      <c r="F6" s="88" t="s">
        <v>610</v>
      </c>
      <c r="G6" s="89">
        <f>B6/DCF!B9-1</f>
        <v>-0.1413473931132615</v>
      </c>
      <c r="H6" s="89">
        <f>C6/DCF!B9-1</f>
        <v>0.20116748039883636</v>
      </c>
    </row>
    <row r="7" spans="1:8" ht="39" x14ac:dyDescent="0.35">
      <c r="A7" s="86" t="s">
        <v>581</v>
      </c>
      <c r="B7" s="87">
        <f>Comps!B21</f>
        <v>5976.4250000000002</v>
      </c>
      <c r="C7" s="87">
        <f>Comps!B22</f>
        <v>8964.6375000000007</v>
      </c>
      <c r="D7" s="253">
        <f>B7</f>
        <v>5976.4250000000002</v>
      </c>
      <c r="E7" s="253">
        <f>C7-B7</f>
        <v>2988.2125000000005</v>
      </c>
      <c r="F7" s="88" t="s">
        <v>611</v>
      </c>
      <c r="G7" s="89">
        <f>B7/DCF!B9-1</f>
        <v>-0.49148294647178692</v>
      </c>
      <c r="H7" s="89">
        <f>C7/DCF!B9-1</f>
        <v>-0.23722441970768027</v>
      </c>
    </row>
    <row r="8" spans="1:8" x14ac:dyDescent="0.35">
      <c r="A8" s="90" t="s">
        <v>92</v>
      </c>
      <c r="B8" s="91">
        <f>Assumptions!B9*B6+Assumptions!B10*B7</f>
        <v>8445.438213966434</v>
      </c>
      <c r="C8" s="91">
        <f>Assumptions!B9*C6+Assumptions!B10*C7</f>
        <v>12055.998499694058</v>
      </c>
      <c r="D8" s="91">
        <f>B8</f>
        <v>8445.438213966434</v>
      </c>
      <c r="E8" s="91">
        <f>C8-B8</f>
        <v>3610.5602857276244</v>
      </c>
      <c r="F8" s="90" t="str">
        <f>TEXT(Assumptions!B9,"0%")&amp;" DCF / "&amp;TEXT(Assumptions!B10,"0%")&amp;" Comps"</f>
        <v>60% DCF / 40% Comps</v>
      </c>
      <c r="G8" s="92">
        <f>B8/DCF!B9-1</f>
        <v>-0.28140161445667178</v>
      </c>
      <c r="H8" s="92">
        <f>C8/DCF!B9-1</f>
        <v>2.5810720356229666E-2</v>
      </c>
    </row>
    <row r="9" spans="1:8" ht="33.5" customHeight="1" x14ac:dyDescent="0.35">
      <c r="A9" s="331" t="s">
        <v>819</v>
      </c>
      <c r="B9" s="331"/>
      <c r="C9" s="331"/>
      <c r="D9" s="331"/>
      <c r="E9" s="331"/>
      <c r="F9" s="331"/>
      <c r="G9" s="331"/>
      <c r="H9" s="331"/>
    </row>
    <row r="10" spans="1:8" x14ac:dyDescent="0.35">
      <c r="A10" s="85"/>
      <c r="B10" s="85"/>
      <c r="C10" s="85"/>
      <c r="D10" s="85"/>
      <c r="E10" s="85"/>
      <c r="F10" s="85"/>
      <c r="G10" s="85"/>
      <c r="H10" s="85"/>
    </row>
    <row r="11" spans="1:8" x14ac:dyDescent="0.35">
      <c r="A11" s="85"/>
      <c r="B11" s="85"/>
      <c r="C11" s="85"/>
      <c r="D11" s="85"/>
      <c r="E11" s="85"/>
      <c r="F11" s="85"/>
      <c r="G11" s="85"/>
      <c r="H11" s="85"/>
    </row>
    <row r="12" spans="1:8" x14ac:dyDescent="0.35">
      <c r="A12" s="85"/>
      <c r="B12" s="85"/>
      <c r="C12" s="85"/>
      <c r="D12" s="85"/>
      <c r="E12" s="85"/>
      <c r="F12" s="85"/>
      <c r="G12" s="85"/>
      <c r="H12" s="85"/>
    </row>
    <row r="13" spans="1:8" x14ac:dyDescent="0.35">
      <c r="A13" s="85"/>
      <c r="B13" s="85"/>
      <c r="C13" s="85"/>
      <c r="D13" s="85"/>
      <c r="E13" s="85"/>
      <c r="F13" s="85"/>
      <c r="G13" s="85"/>
      <c r="H13" s="85"/>
    </row>
    <row r="14" spans="1:8" x14ac:dyDescent="0.35">
      <c r="A14" s="85"/>
      <c r="B14" s="85"/>
      <c r="C14" s="85"/>
      <c r="D14" s="85"/>
      <c r="E14" s="85"/>
      <c r="F14" s="85"/>
      <c r="G14" s="85"/>
      <c r="H14" s="85"/>
    </row>
    <row r="15" spans="1:8" x14ac:dyDescent="0.35">
      <c r="A15" s="85"/>
      <c r="B15" s="85"/>
      <c r="C15" s="85"/>
      <c r="D15" s="85"/>
      <c r="E15" s="85"/>
      <c r="F15" s="85"/>
      <c r="G15" s="85"/>
      <c r="H15" s="85"/>
    </row>
    <row r="16" spans="1:8" x14ac:dyDescent="0.35">
      <c r="A16" s="85"/>
      <c r="B16" s="85"/>
      <c r="C16" s="85"/>
      <c r="D16" s="85"/>
      <c r="E16" s="85"/>
      <c r="F16" s="85"/>
      <c r="G16" s="85"/>
      <c r="H16" s="85"/>
    </row>
    <row r="17" spans="1:8" x14ac:dyDescent="0.35">
      <c r="A17" s="85"/>
      <c r="B17" s="85"/>
      <c r="C17" s="85"/>
      <c r="D17" s="85"/>
      <c r="E17" s="85"/>
      <c r="F17" s="85"/>
      <c r="G17" s="85"/>
      <c r="H17" s="85"/>
    </row>
    <row r="18" spans="1:8" x14ac:dyDescent="0.35">
      <c r="A18" s="85"/>
      <c r="B18" s="85"/>
      <c r="C18" s="85"/>
      <c r="D18" s="85"/>
      <c r="E18" s="85"/>
      <c r="F18" s="85"/>
      <c r="G18" s="85"/>
      <c r="H18" s="85"/>
    </row>
    <row r="19" spans="1:8" x14ac:dyDescent="0.35">
      <c r="A19" s="85"/>
      <c r="B19" s="85"/>
      <c r="C19" s="85"/>
      <c r="D19" s="85"/>
      <c r="E19" s="85"/>
      <c r="F19" s="85"/>
      <c r="G19" s="85"/>
      <c r="H19" s="85"/>
    </row>
    <row r="20" spans="1:8" x14ac:dyDescent="0.35">
      <c r="A20" s="85"/>
      <c r="B20" s="85"/>
      <c r="C20" s="85"/>
      <c r="D20" s="85"/>
      <c r="E20" s="85"/>
      <c r="F20" s="85"/>
      <c r="G20" s="85"/>
      <c r="H20" s="85"/>
    </row>
    <row r="21" spans="1:8" x14ac:dyDescent="0.35">
      <c r="A21" s="85"/>
      <c r="B21" s="85"/>
      <c r="C21" s="85"/>
      <c r="D21" s="85"/>
      <c r="E21" s="85"/>
      <c r="F21" s="85"/>
      <c r="G21" s="85"/>
      <c r="H21" s="85"/>
    </row>
    <row r="22" spans="1:8" x14ac:dyDescent="0.35">
      <c r="A22" s="85"/>
      <c r="B22" s="85"/>
      <c r="C22" s="85"/>
      <c r="D22" s="85"/>
      <c r="E22" s="85"/>
      <c r="F22" s="85"/>
      <c r="G22" s="85"/>
      <c r="H22" s="85"/>
    </row>
    <row r="23" spans="1:8" x14ac:dyDescent="0.35">
      <c r="A23" s="85"/>
      <c r="B23" s="85"/>
      <c r="C23" s="85"/>
      <c r="D23" s="85"/>
      <c r="E23" s="85"/>
      <c r="F23" s="85"/>
      <c r="G23" s="85"/>
      <c r="H23" s="85"/>
    </row>
    <row r="24" spans="1:8" x14ac:dyDescent="0.35">
      <c r="A24" s="85"/>
      <c r="B24" s="85"/>
      <c r="C24" s="85"/>
      <c r="D24" s="85"/>
      <c r="E24" s="85"/>
      <c r="F24" s="85"/>
      <c r="G24" s="85"/>
      <c r="H24" s="85"/>
    </row>
    <row r="25" spans="1:8" x14ac:dyDescent="0.35">
      <c r="A25" s="85"/>
      <c r="B25" s="85"/>
      <c r="C25" s="85"/>
      <c r="D25" s="85"/>
      <c r="E25" s="85"/>
      <c r="F25" s="85"/>
      <c r="G25" s="85"/>
      <c r="H25" s="85"/>
    </row>
    <row r="26" spans="1:8" x14ac:dyDescent="0.35">
      <c r="A26" s="85"/>
      <c r="B26" s="85"/>
      <c r="C26" s="85"/>
      <c r="D26" s="85"/>
      <c r="E26" s="85"/>
      <c r="F26" s="85"/>
      <c r="G26" s="85"/>
      <c r="H26" s="85"/>
    </row>
    <row r="27" spans="1:8" x14ac:dyDescent="0.35">
      <c r="A27" s="85"/>
      <c r="B27" s="85"/>
      <c r="C27" s="85"/>
      <c r="D27" s="85"/>
      <c r="E27" s="85"/>
      <c r="F27" s="85"/>
      <c r="G27" s="85"/>
      <c r="H27" s="85"/>
    </row>
    <row r="28" spans="1:8" x14ac:dyDescent="0.35">
      <c r="A28" s="85"/>
      <c r="B28" s="85"/>
      <c r="C28" s="85"/>
      <c r="D28" s="85"/>
      <c r="E28" s="85"/>
      <c r="F28" s="85"/>
      <c r="G28" s="85"/>
      <c r="H28" s="85"/>
    </row>
    <row r="29" spans="1:8" x14ac:dyDescent="0.35">
      <c r="A29" s="85"/>
      <c r="B29" s="85"/>
      <c r="C29" s="85"/>
      <c r="D29" s="85"/>
      <c r="E29" s="85"/>
      <c r="F29" s="85"/>
      <c r="G29" s="85"/>
      <c r="H29" s="85"/>
    </row>
    <row r="30" spans="1:8" x14ac:dyDescent="0.35">
      <c r="A30" s="265" t="s">
        <v>582</v>
      </c>
      <c r="B30" s="265"/>
      <c r="C30" s="265"/>
      <c r="D30" s="265"/>
      <c r="E30" s="265"/>
      <c r="F30" s="265"/>
      <c r="G30" s="265"/>
      <c r="H30" s="265"/>
    </row>
    <row r="31" spans="1:8" x14ac:dyDescent="0.35">
      <c r="A31" s="257" t="s">
        <v>26</v>
      </c>
      <c r="B31" s="257" t="s">
        <v>541</v>
      </c>
      <c r="C31" s="257" t="s">
        <v>542</v>
      </c>
      <c r="D31" s="257" t="s">
        <v>204</v>
      </c>
      <c r="E31" s="257"/>
      <c r="F31" s="257"/>
      <c r="G31" s="257"/>
      <c r="H31" s="257"/>
    </row>
    <row r="32" spans="1:8" x14ac:dyDescent="0.35">
      <c r="A32" s="254" t="s">
        <v>583</v>
      </c>
      <c r="B32" s="255">
        <f>B8</f>
        <v>8445.438213966434</v>
      </c>
      <c r="C32" s="255">
        <f>C8</f>
        <v>12055.998499694058</v>
      </c>
      <c r="D32" s="333" t="s">
        <v>586</v>
      </c>
      <c r="E32" s="333"/>
      <c r="F32" s="333"/>
      <c r="G32" s="333"/>
      <c r="H32" s="333"/>
    </row>
    <row r="33" spans="1:8" ht="20.5" customHeight="1" x14ac:dyDescent="0.35">
      <c r="A33" s="86" t="s">
        <v>543</v>
      </c>
      <c r="B33" s="93">
        <f>DCF!B10+DCF!B11</f>
        <v>4755.3999999999996</v>
      </c>
      <c r="C33" s="93">
        <f>B33</f>
        <v>4755.3999999999996</v>
      </c>
      <c r="D33" s="268" t="s">
        <v>820</v>
      </c>
      <c r="E33" s="268"/>
      <c r="F33" s="268"/>
      <c r="G33" s="268"/>
      <c r="H33" s="268"/>
    </row>
    <row r="34" spans="1:8" x14ac:dyDescent="0.35">
      <c r="A34" s="254" t="s">
        <v>406</v>
      </c>
      <c r="B34" s="255">
        <f>B32-B33</f>
        <v>3690.0382139664343</v>
      </c>
      <c r="C34" s="255">
        <f>C32-C33</f>
        <v>7300.5984996940588</v>
      </c>
      <c r="D34" s="333" t="s">
        <v>547</v>
      </c>
      <c r="E34" s="333"/>
      <c r="F34" s="333"/>
      <c r="G34" s="333"/>
      <c r="H34" s="333"/>
    </row>
    <row r="35" spans="1:8" ht="20.5" customHeight="1" x14ac:dyDescent="0.35">
      <c r="A35" s="86" t="s">
        <v>791</v>
      </c>
      <c r="B35" s="93">
        <f>Assumptions!B27</f>
        <v>417.00622079999999</v>
      </c>
      <c r="C35" s="93">
        <f>B35</f>
        <v>417.00622079999999</v>
      </c>
      <c r="D35" s="268" t="s">
        <v>817</v>
      </c>
      <c r="E35" s="268"/>
      <c r="F35" s="268"/>
      <c r="G35" s="268"/>
      <c r="H35" s="268"/>
    </row>
    <row r="36" spans="1:8" x14ac:dyDescent="0.35">
      <c r="A36" s="90" t="s">
        <v>544</v>
      </c>
      <c r="B36" s="94">
        <f>B34/B35</f>
        <v>8.8488804960447105</v>
      </c>
      <c r="C36" s="94">
        <f>C34/C35</f>
        <v>17.507169283202355</v>
      </c>
      <c r="D36" s="334" t="s">
        <v>587</v>
      </c>
      <c r="E36" s="334"/>
      <c r="F36" s="334"/>
      <c r="G36" s="334"/>
      <c r="H36" s="334"/>
    </row>
    <row r="37" spans="1:8" x14ac:dyDescent="0.35">
      <c r="A37" s="95" t="s">
        <v>584</v>
      </c>
      <c r="B37" s="96">
        <f>DCF!B14</f>
        <v>16.779735370807831</v>
      </c>
      <c r="C37" s="96">
        <f>DCF!B14</f>
        <v>16.779735370807831</v>
      </c>
      <c r="D37" s="335" t="s">
        <v>588</v>
      </c>
      <c r="E37" s="335"/>
      <c r="F37" s="335"/>
      <c r="G37" s="335"/>
      <c r="H37" s="335"/>
    </row>
    <row r="38" spans="1:8" x14ac:dyDescent="0.35">
      <c r="A38" s="254" t="s">
        <v>585</v>
      </c>
      <c r="B38" s="256">
        <f>B36/B37-1</f>
        <v>-0.47264481229904542</v>
      </c>
      <c r="C38" s="256">
        <f>C36/C37-1</f>
        <v>4.3351929951175538E-2</v>
      </c>
      <c r="D38" s="333" t="s">
        <v>589</v>
      </c>
      <c r="E38" s="333"/>
      <c r="F38" s="333"/>
      <c r="G38" s="333"/>
      <c r="H38" s="333"/>
    </row>
    <row r="39" spans="1:8" x14ac:dyDescent="0.35">
      <c r="A39" s="85"/>
      <c r="B39" s="85"/>
      <c r="C39" s="85"/>
      <c r="D39" s="85"/>
      <c r="E39" s="85"/>
      <c r="F39" s="85"/>
      <c r="G39" s="85"/>
      <c r="H39" s="85"/>
    </row>
    <row r="40" spans="1:8" x14ac:dyDescent="0.35">
      <c r="A40" s="265" t="s">
        <v>590</v>
      </c>
      <c r="B40" s="265"/>
      <c r="C40" s="265"/>
      <c r="D40" s="265"/>
      <c r="E40" s="265"/>
      <c r="F40" s="265"/>
      <c r="G40" s="265"/>
      <c r="H40" s="265"/>
    </row>
    <row r="41" spans="1:8" x14ac:dyDescent="0.35">
      <c r="A41" s="332" t="str">
        <f>"The DCF sensitivity band spans €"&amp;TEXT(B6/1000,"0.0")&amp;"bn to €"&amp;TEXT(C6/1000,"0.0")&amp;"bn, while the core comparable-company range is materially lower at €"&amp;TEXT(B7/1000,"0.0")&amp;"bn to €"&amp;TEXT(C7/1000,"0.0")&amp;"bn. Applying the model’s "&amp;TEXT(Assumptions!B9,"0%")&amp;" / "&amp;TEXT(Assumptions!B10,"0%")&amp;" weighting produces a blended enterprise-value range of €"&amp;TEXT(B8/1000,"0.0")&amp;"bn to €"&amp;TEXT(C8/1000,"0.0")&amp;"bn and an indicative equity value of €"&amp;TEXT(B36,"0.00")&amp;" to €"&amp;TEXT(C36,"0.00")&amp;_xlfn._LONGTEXT(" per share. The persistent method gap is decision-relevant: public-market peers apply a materially larger discount for leverage, integration execution, and capital intensity than the DCF. Until a validated current-market reference is added, this tab suppo","rts valuation triangulation rather than a stand-alone buy or sell call.")</f>
        <v>The DCF sensitivity band spans €10.1bn to €14.1bn, while the core comparable-company range is materially lower at €6.0bn to €9.0bn. Applying the model’s 60% / 40% weighting produces a blended enterprise-value range of €8.4bn to €12.1bn and an indicative equity value of €8.85 to €17.51 per share. The persistent method gap is decision-relevant: public-market peers apply a materially larger discount for leverage, integration execution, and capital intensity than the DCF. Until a validated current-market reference is added, this tab supports valuation triangulation rather than a stand-alone buy or sell call.</v>
      </c>
      <c r="B41" s="332"/>
      <c r="C41" s="332"/>
      <c r="D41" s="332"/>
      <c r="E41" s="332"/>
      <c r="F41" s="332"/>
      <c r="G41" s="332"/>
      <c r="H41" s="332"/>
    </row>
    <row r="42" spans="1:8" x14ac:dyDescent="0.35">
      <c r="A42" s="332"/>
      <c r="B42" s="332"/>
      <c r="C42" s="332"/>
      <c r="D42" s="332"/>
      <c r="E42" s="332"/>
      <c r="F42" s="332"/>
      <c r="G42" s="332"/>
      <c r="H42" s="332"/>
    </row>
    <row r="43" spans="1:8" x14ac:dyDescent="0.35">
      <c r="A43" s="332"/>
      <c r="B43" s="332"/>
      <c r="C43" s="332"/>
      <c r="D43" s="332"/>
      <c r="E43" s="332"/>
      <c r="F43" s="332"/>
      <c r="G43" s="332"/>
      <c r="H43" s="332"/>
    </row>
    <row r="44" spans="1:8" x14ac:dyDescent="0.35">
      <c r="A44" s="332"/>
      <c r="B44" s="332"/>
      <c r="C44" s="332"/>
      <c r="D44" s="332"/>
      <c r="E44" s="332"/>
      <c r="F44" s="332"/>
      <c r="G44" s="332"/>
      <c r="H44" s="332"/>
    </row>
    <row r="45" spans="1:8" x14ac:dyDescent="0.35">
      <c r="A45" s="85"/>
      <c r="B45" s="85"/>
      <c r="C45" s="85"/>
      <c r="D45" s="85"/>
      <c r="E45" s="85"/>
      <c r="F45" s="85"/>
      <c r="G45" s="85"/>
      <c r="H45" s="85"/>
    </row>
    <row r="46" spans="1:8" x14ac:dyDescent="0.35">
      <c r="A46" s="85"/>
      <c r="B46" s="85"/>
      <c r="C46" s="85"/>
      <c r="D46" s="85"/>
      <c r="E46" s="85"/>
      <c r="F46" s="85"/>
      <c r="G46" s="85"/>
      <c r="H46" s="85"/>
    </row>
    <row r="47" spans="1:8" x14ac:dyDescent="0.35">
      <c r="A47" s="265" t="s">
        <v>591</v>
      </c>
      <c r="B47" s="265"/>
      <c r="C47" s="265"/>
      <c r="D47" s="265"/>
      <c r="E47" s="265"/>
      <c r="F47" s="265"/>
      <c r="G47" s="265"/>
      <c r="H47" s="265"/>
    </row>
    <row r="48" spans="1:8" x14ac:dyDescent="0.35">
      <c r="A48" s="257" t="s">
        <v>201</v>
      </c>
      <c r="B48" s="257" t="s">
        <v>202</v>
      </c>
      <c r="C48" s="257" t="s">
        <v>329</v>
      </c>
      <c r="D48" s="257" t="s">
        <v>204</v>
      </c>
      <c r="E48" s="257"/>
      <c r="F48" s="257"/>
      <c r="G48" s="257"/>
      <c r="H48" s="257"/>
    </row>
    <row r="49" spans="1:8" ht="52" x14ac:dyDescent="0.35">
      <c r="A49" s="97" t="s">
        <v>592</v>
      </c>
      <c r="B49" s="98" t="str">
        <f>IF(AND(B6&lt;C6,B7&lt;C7,B8&lt;C8),"PASS","REVIEW")</f>
        <v>PASS</v>
      </c>
      <c r="C49" s="99" t="s">
        <v>597</v>
      </c>
      <c r="D49" s="330" t="s">
        <v>574</v>
      </c>
      <c r="E49" s="330"/>
      <c r="F49" s="330"/>
      <c r="G49" s="330"/>
      <c r="H49" s="330"/>
    </row>
    <row r="50" spans="1:8" ht="39" x14ac:dyDescent="0.35">
      <c r="A50" s="97" t="s">
        <v>593</v>
      </c>
      <c r="B50" s="98" t="str">
        <f>IF(MIN(E6:E8)&gt;0,"PASS","REVIEW")</f>
        <v>PASS</v>
      </c>
      <c r="C50" s="99" t="s">
        <v>598</v>
      </c>
      <c r="D50" s="330" t="s">
        <v>603</v>
      </c>
      <c r="E50" s="330"/>
      <c r="F50" s="330"/>
      <c r="G50" s="330"/>
      <c r="H50" s="330"/>
    </row>
    <row r="51" spans="1:8" ht="39" x14ac:dyDescent="0.35">
      <c r="A51" s="97" t="s">
        <v>594</v>
      </c>
      <c r="B51" s="98" t="str">
        <f>IF(ABS(Assumptions!B9+Assumptions!B10-1)&lt;0.0001,"PASS","REVIEW")</f>
        <v>PASS</v>
      </c>
      <c r="C51" s="99" t="s">
        <v>599</v>
      </c>
      <c r="D51" s="330" t="s">
        <v>604</v>
      </c>
      <c r="E51" s="330"/>
      <c r="F51" s="330"/>
      <c r="G51" s="330"/>
      <c r="H51" s="330"/>
    </row>
    <row r="52" spans="1:8" ht="78" x14ac:dyDescent="0.35">
      <c r="A52" s="97" t="s">
        <v>595</v>
      </c>
      <c r="B52" s="98" t="str">
        <f>IF(AND(B8&gt;=MIN(B6,B7),B8&lt;=MAX(B6,B7),C8&gt;=MIN(C6,C7),C8&lt;=MAX(C6,C7)),"PASS","REVIEW")</f>
        <v>PASS</v>
      </c>
      <c r="C52" s="99" t="s">
        <v>600</v>
      </c>
      <c r="D52" s="330" t="s">
        <v>605</v>
      </c>
      <c r="E52" s="330"/>
      <c r="F52" s="330"/>
      <c r="G52" s="330"/>
      <c r="H52" s="330"/>
    </row>
    <row r="53" spans="1:8" ht="65" x14ac:dyDescent="0.35">
      <c r="A53" s="97" t="s">
        <v>442</v>
      </c>
      <c r="B53" s="98" t="str">
        <f>IF(AND(ABS(B34-(B32-B33))&lt;0.01,ABS(C34-(C32-C33))&lt;0.01),"PASS","REVIEW")</f>
        <v>PASS</v>
      </c>
      <c r="C53" s="99" t="s">
        <v>601</v>
      </c>
      <c r="D53" s="330" t="s">
        <v>575</v>
      </c>
      <c r="E53" s="330"/>
      <c r="F53" s="330"/>
      <c r="G53" s="330"/>
      <c r="H53" s="330"/>
    </row>
    <row r="54" spans="1:8" ht="65" x14ac:dyDescent="0.35">
      <c r="A54" s="97" t="s">
        <v>596</v>
      </c>
      <c r="B54" s="98" t="str">
        <f>IF(AND(B36&gt;0,C36&gt;B36),"PASS","REVIEW")</f>
        <v>PASS</v>
      </c>
      <c r="C54" s="99" t="s">
        <v>602</v>
      </c>
      <c r="D54" s="330" t="s">
        <v>606</v>
      </c>
      <c r="E54" s="330"/>
      <c r="F54" s="330"/>
      <c r="G54" s="330"/>
      <c r="H54" s="330"/>
    </row>
    <row r="55" spans="1:8" ht="65" x14ac:dyDescent="0.35">
      <c r="A55" s="112" t="s">
        <v>612</v>
      </c>
      <c r="B55" s="100" t="s">
        <v>613</v>
      </c>
      <c r="C55" s="101" t="s">
        <v>614</v>
      </c>
      <c r="D55" s="269" t="s">
        <v>615</v>
      </c>
      <c r="E55" s="269"/>
      <c r="F55" s="269"/>
      <c r="G55" s="269"/>
      <c r="H55" s="269"/>
    </row>
    <row r="56" spans="1:8" ht="65" x14ac:dyDescent="0.35">
      <c r="A56" s="102" t="s">
        <v>616</v>
      </c>
      <c r="B56" s="103" t="str">
        <f>IFERROR(IF(AND(ISNUMBER(B6),ISNUMBER(C6),ISNUMBER(B7),ISNUMBER(C7),ISNUMBER(B8),ISNUMBER(C8),ISNUMBER(B36),ISNUMBER(C36)),"PASS","REVIEW"),"REVIEW")</f>
        <v>PASS</v>
      </c>
      <c r="C56" s="99" t="s">
        <v>617</v>
      </c>
      <c r="D56" s="330" t="s">
        <v>618</v>
      </c>
      <c r="E56" s="330"/>
      <c r="F56" s="330"/>
      <c r="G56" s="330"/>
      <c r="H56" s="330"/>
    </row>
    <row r="57" spans="1:8" ht="19.5" customHeight="1" x14ac:dyDescent="0.35"/>
    <row r="58" spans="1:8" ht="19.5" customHeight="1" x14ac:dyDescent="0.35"/>
    <row r="59" spans="1:8" ht="19.5" customHeight="1" x14ac:dyDescent="0.35"/>
    <row r="60" spans="1:8" ht="19.5" customHeight="1" x14ac:dyDescent="0.35"/>
    <row r="61" spans="1:8" ht="19.5" customHeight="1" x14ac:dyDescent="0.35"/>
    <row r="62" spans="1:8" ht="19.5" customHeight="1" x14ac:dyDescent="0.35"/>
    <row r="63" spans="1:8" ht="19.5" customHeight="1" x14ac:dyDescent="0.35"/>
    <row r="64" spans="1:8" ht="19.5" customHeight="1" x14ac:dyDescent="0.35"/>
    <row r="65" ht="19.5" customHeight="1" x14ac:dyDescent="0.35"/>
    <row r="66" ht="19.5" customHeight="1" x14ac:dyDescent="0.35"/>
    <row r="67" ht="19.5" customHeight="1" x14ac:dyDescent="0.35"/>
    <row r="68" ht="19.5" customHeight="1" x14ac:dyDescent="0.35"/>
    <row r="69" ht="19.5" customHeight="1" x14ac:dyDescent="0.35"/>
    <row r="70" ht="19.5" customHeight="1" x14ac:dyDescent="0.35"/>
    <row r="71" ht="19.5" customHeight="1" x14ac:dyDescent="0.35"/>
    <row r="72" ht="19.5" customHeight="1" x14ac:dyDescent="0.35"/>
    <row r="73" ht="19.5" customHeight="1" x14ac:dyDescent="0.35"/>
    <row r="74" ht="19.5" customHeight="1" x14ac:dyDescent="0.35"/>
    <row r="75" ht="19.5" customHeight="1" x14ac:dyDescent="0.35"/>
    <row r="76" ht="19.5" customHeight="1" x14ac:dyDescent="0.35"/>
    <row r="77" ht="19.5" customHeight="1" x14ac:dyDescent="0.35"/>
    <row r="78" ht="19.5" customHeight="1" x14ac:dyDescent="0.35"/>
  </sheetData>
  <mergeCells count="23">
    <mergeCell ref="D38:H38"/>
    <mergeCell ref="D54:H54"/>
    <mergeCell ref="D49:H49"/>
    <mergeCell ref="D50:H50"/>
    <mergeCell ref="D51:H51"/>
    <mergeCell ref="D52:H52"/>
    <mergeCell ref="D53:H53"/>
    <mergeCell ref="D55:H55"/>
    <mergeCell ref="D56:H56"/>
    <mergeCell ref="A1:H1"/>
    <mergeCell ref="A2:H2"/>
    <mergeCell ref="A4:H4"/>
    <mergeCell ref="A30:H30"/>
    <mergeCell ref="A9:H9"/>
    <mergeCell ref="A40:H40"/>
    <mergeCell ref="A41:H44"/>
    <mergeCell ref="A47:H47"/>
    <mergeCell ref="D32:H32"/>
    <mergeCell ref="D33:H33"/>
    <mergeCell ref="D34:H34"/>
    <mergeCell ref="D35:H35"/>
    <mergeCell ref="D36:H36"/>
    <mergeCell ref="D37:H37"/>
  </mergeCells>
  <printOptions horizontalCentered="1"/>
  <pageMargins left="0.75" right="0.75" top="1" bottom="1" header="0.511811023622047" footer="0.511811023622047"/>
  <pageSetup paperSize="9" orientation="landscape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F7F7F"/>
  </sheetPr>
  <dimension ref="A1:H78"/>
  <sheetViews>
    <sheetView showGridLines="0" zoomScaleNormal="100" workbookViewId="0">
      <selection activeCell="J7" sqref="J7"/>
    </sheetView>
  </sheetViews>
  <sheetFormatPr defaultColWidth="8.7265625" defaultRowHeight="14.5" x14ac:dyDescent="0.35"/>
  <cols>
    <col min="1" max="1" width="27.26953125" customWidth="1"/>
    <col min="2" max="8" width="13.08984375" customWidth="1"/>
    <col min="9" max="14" width="14" customWidth="1"/>
  </cols>
  <sheetData>
    <row r="1" spans="1:8" ht="30" customHeight="1" x14ac:dyDescent="0.35">
      <c r="A1" s="270" t="s">
        <v>619</v>
      </c>
      <c r="B1" s="270"/>
      <c r="C1" s="270"/>
      <c r="D1" s="270"/>
      <c r="E1" s="270"/>
      <c r="F1" s="270"/>
      <c r="G1" s="270"/>
      <c r="H1" s="270"/>
    </row>
    <row r="2" spans="1:8" ht="22" customHeight="1" x14ac:dyDescent="0.35">
      <c r="A2" s="271" t="str">
        <f>"Selected "&amp;Assumptions!B5&amp;" case | FY2026E–FY2030E | EUR millions unless stated otherwise"</f>
        <v>Selected Base case | FY2026E–FY2030E | EUR millions unless stated otherwise</v>
      </c>
      <c r="B2" s="271"/>
      <c r="C2" s="271"/>
      <c r="D2" s="271"/>
      <c r="E2" s="271"/>
      <c r="F2" s="271"/>
      <c r="G2" s="271"/>
      <c r="H2" s="271"/>
    </row>
    <row r="3" spans="1:8" ht="19.5" customHeight="1" x14ac:dyDescent="0.35">
      <c r="A3" s="85"/>
      <c r="B3" s="85"/>
      <c r="C3" s="85"/>
      <c r="D3" s="85"/>
      <c r="E3" s="85"/>
      <c r="F3" s="85"/>
      <c r="G3" s="85"/>
      <c r="H3" s="85"/>
    </row>
    <row r="4" spans="1:8" ht="21" customHeight="1" x14ac:dyDescent="0.35">
      <c r="A4" s="265" t="s">
        <v>620</v>
      </c>
      <c r="B4" s="265"/>
      <c r="C4" s="265"/>
      <c r="D4" s="265"/>
      <c r="E4" s="265"/>
      <c r="F4" s="265"/>
      <c r="G4" s="265"/>
      <c r="H4" s="265"/>
    </row>
    <row r="5" spans="1:8" ht="19.5" customHeight="1" x14ac:dyDescent="0.35">
      <c r="A5" s="106" t="s">
        <v>26</v>
      </c>
      <c r="B5" s="106" t="s">
        <v>11</v>
      </c>
      <c r="C5" s="106" t="s">
        <v>12</v>
      </c>
      <c r="D5" s="106" t="s">
        <v>13</v>
      </c>
      <c r="E5" s="106" t="s">
        <v>14</v>
      </c>
      <c r="F5" s="106" t="s">
        <v>15</v>
      </c>
      <c r="G5" s="85"/>
      <c r="H5" s="85"/>
    </row>
    <row r="6" spans="1:8" ht="19.5" customHeight="1" x14ac:dyDescent="0.35">
      <c r="A6" s="104" t="s">
        <v>34</v>
      </c>
      <c r="B6" s="105">
        <f>Projections!B6</f>
        <v>2627</v>
      </c>
      <c r="C6" s="105">
        <f>Projections!C6</f>
        <v>2666.4049999999997</v>
      </c>
      <c r="D6" s="105">
        <f>Projections!D6</f>
        <v>2719.7330999999999</v>
      </c>
      <c r="E6" s="105">
        <f>Projections!E6</f>
        <v>2787.7264274999998</v>
      </c>
      <c r="F6" s="105">
        <f>Projections!F6</f>
        <v>2857.4195881874994</v>
      </c>
      <c r="G6" s="85"/>
      <c r="H6" s="85"/>
    </row>
    <row r="7" spans="1:8" ht="19.5" customHeight="1" x14ac:dyDescent="0.35">
      <c r="A7" s="104" t="s">
        <v>38</v>
      </c>
      <c r="B7" s="105">
        <f>Projections!B8</f>
        <v>1195.2850000000001</v>
      </c>
      <c r="C7" s="105">
        <f>Projections!C8</f>
        <v>1253.2103499999998</v>
      </c>
      <c r="D7" s="105">
        <f>Projections!D8</f>
        <v>1305.4718879999998</v>
      </c>
      <c r="E7" s="105">
        <f>Projections!E8</f>
        <v>1352.0473173374999</v>
      </c>
      <c r="F7" s="105">
        <f>Projections!F8</f>
        <v>1400.1355982118746</v>
      </c>
      <c r="G7" s="85"/>
      <c r="H7" s="85"/>
    </row>
    <row r="8" spans="1:8" ht="19.5" customHeight="1" x14ac:dyDescent="0.35">
      <c r="A8" s="85"/>
      <c r="B8" s="85"/>
      <c r="C8" s="85"/>
      <c r="D8" s="85"/>
      <c r="E8" s="85"/>
      <c r="F8" s="85"/>
      <c r="G8" s="85"/>
      <c r="H8" s="85"/>
    </row>
    <row r="9" spans="1:8" ht="19.5" customHeight="1" x14ac:dyDescent="0.35">
      <c r="A9" s="85"/>
      <c r="B9" s="85"/>
      <c r="C9" s="85"/>
      <c r="D9" s="85"/>
      <c r="E9" s="85"/>
      <c r="F9" s="85"/>
      <c r="G9" s="85"/>
      <c r="H9" s="85"/>
    </row>
    <row r="10" spans="1:8" ht="19.5" customHeight="1" x14ac:dyDescent="0.35">
      <c r="A10" s="85"/>
      <c r="B10" s="85"/>
      <c r="C10" s="85"/>
      <c r="D10" s="85"/>
      <c r="E10" s="85"/>
      <c r="F10" s="85"/>
      <c r="G10" s="85"/>
      <c r="H10" s="85"/>
    </row>
    <row r="11" spans="1:8" ht="19.5" customHeight="1" x14ac:dyDescent="0.35">
      <c r="A11" s="85"/>
      <c r="B11" s="85"/>
      <c r="C11" s="85"/>
      <c r="D11" s="85"/>
      <c r="E11" s="85"/>
      <c r="F11" s="85"/>
      <c r="G11" s="85"/>
      <c r="H11" s="85"/>
    </row>
    <row r="12" spans="1:8" ht="19.5" customHeight="1" x14ac:dyDescent="0.35">
      <c r="A12" s="85"/>
      <c r="B12" s="85"/>
      <c r="C12" s="85"/>
      <c r="D12" s="85"/>
      <c r="E12" s="85"/>
      <c r="F12" s="85"/>
      <c r="G12" s="85"/>
      <c r="H12" s="85"/>
    </row>
    <row r="13" spans="1:8" ht="19.5" customHeight="1" x14ac:dyDescent="0.35">
      <c r="A13" s="85"/>
      <c r="B13" s="85"/>
      <c r="C13" s="85"/>
      <c r="D13" s="85"/>
      <c r="E13" s="85"/>
      <c r="F13" s="85"/>
      <c r="G13" s="85"/>
      <c r="H13" s="85"/>
    </row>
    <row r="14" spans="1:8" ht="19.5" customHeight="1" x14ac:dyDescent="0.35">
      <c r="A14" s="85"/>
      <c r="B14" s="85"/>
      <c r="C14" s="85"/>
      <c r="D14" s="85"/>
      <c r="E14" s="85"/>
      <c r="F14" s="85"/>
      <c r="G14" s="85"/>
      <c r="H14" s="85"/>
    </row>
    <row r="15" spans="1:8" ht="19.5" customHeight="1" x14ac:dyDescent="0.35">
      <c r="A15" s="85"/>
      <c r="B15" s="85"/>
      <c r="C15" s="85"/>
      <c r="D15" s="85"/>
      <c r="E15" s="85"/>
      <c r="F15" s="85"/>
      <c r="G15" s="85"/>
      <c r="H15" s="85"/>
    </row>
    <row r="16" spans="1:8" ht="19.5" customHeight="1" x14ac:dyDescent="0.35">
      <c r="A16" s="85"/>
      <c r="B16" s="85"/>
      <c r="C16" s="85"/>
      <c r="D16" s="85"/>
      <c r="E16" s="85"/>
      <c r="F16" s="85"/>
      <c r="G16" s="85"/>
      <c r="H16" s="85"/>
    </row>
    <row r="17" spans="1:8" ht="19.5" customHeight="1" x14ac:dyDescent="0.35">
      <c r="A17" s="85"/>
      <c r="B17" s="85"/>
      <c r="C17" s="85"/>
      <c r="D17" s="85"/>
      <c r="E17" s="85"/>
      <c r="F17" s="85"/>
      <c r="G17" s="85"/>
      <c r="H17" s="85"/>
    </row>
    <row r="18" spans="1:8" ht="19.5" customHeight="1" x14ac:dyDescent="0.35">
      <c r="A18" s="85"/>
      <c r="B18" s="85"/>
      <c r="C18" s="85"/>
      <c r="D18" s="85"/>
      <c r="E18" s="85"/>
      <c r="F18" s="85"/>
      <c r="G18" s="85"/>
      <c r="H18" s="85"/>
    </row>
    <row r="19" spans="1:8" ht="19.5" customHeight="1" x14ac:dyDescent="0.35">
      <c r="A19" s="85"/>
      <c r="B19" s="85"/>
      <c r="C19" s="85"/>
      <c r="D19" s="85"/>
      <c r="E19" s="85"/>
      <c r="F19" s="85"/>
      <c r="G19" s="85"/>
      <c r="H19" s="85"/>
    </row>
    <row r="20" spans="1:8" ht="19.5" customHeight="1" x14ac:dyDescent="0.35">
      <c r="A20" s="85"/>
      <c r="B20" s="85"/>
      <c r="C20" s="85"/>
      <c r="D20" s="85"/>
      <c r="E20" s="85"/>
      <c r="F20" s="85"/>
      <c r="G20" s="85"/>
      <c r="H20" s="85"/>
    </row>
    <row r="21" spans="1:8" ht="19.5" customHeight="1" x14ac:dyDescent="0.35">
      <c r="A21" s="85"/>
      <c r="B21" s="85"/>
      <c r="C21" s="85"/>
      <c r="D21" s="85"/>
      <c r="E21" s="85"/>
      <c r="F21" s="85"/>
      <c r="G21" s="85"/>
      <c r="H21" s="85"/>
    </row>
    <row r="22" spans="1:8" ht="19.5" customHeight="1" x14ac:dyDescent="0.35">
      <c r="A22" s="85"/>
      <c r="B22" s="85"/>
      <c r="C22" s="85"/>
      <c r="D22" s="85"/>
      <c r="E22" s="85"/>
      <c r="F22" s="85"/>
      <c r="G22" s="85"/>
      <c r="H22" s="85"/>
    </row>
    <row r="23" spans="1:8" ht="19.5" customHeight="1" x14ac:dyDescent="0.35">
      <c r="A23" s="85"/>
      <c r="B23" s="85"/>
      <c r="C23" s="85"/>
      <c r="D23" s="85"/>
      <c r="E23" s="85"/>
      <c r="F23" s="85"/>
      <c r="G23" s="85"/>
      <c r="H23" s="85"/>
    </row>
    <row r="24" spans="1:8" ht="19.5" customHeight="1" x14ac:dyDescent="0.35">
      <c r="A24" s="85"/>
      <c r="B24" s="85"/>
      <c r="C24" s="85"/>
      <c r="D24" s="85"/>
      <c r="E24" s="85"/>
      <c r="F24" s="85"/>
      <c r="G24" s="85"/>
      <c r="H24" s="85"/>
    </row>
    <row r="25" spans="1:8" ht="19.5" customHeight="1" x14ac:dyDescent="0.35">
      <c r="A25" s="85"/>
      <c r="B25" s="85"/>
      <c r="C25" s="85"/>
      <c r="D25" s="85"/>
      <c r="E25" s="85"/>
      <c r="F25" s="85"/>
      <c r="G25" s="85"/>
      <c r="H25" s="85"/>
    </row>
    <row r="26" spans="1:8" ht="19.5" customHeight="1" x14ac:dyDescent="0.35">
      <c r="A26" s="85"/>
      <c r="B26" s="85"/>
      <c r="C26" s="85"/>
      <c r="D26" s="85"/>
      <c r="E26" s="85"/>
      <c r="F26" s="85"/>
      <c r="G26" s="85"/>
      <c r="H26" s="85"/>
    </row>
    <row r="27" spans="1:8" ht="21" customHeight="1" x14ac:dyDescent="0.35">
      <c r="A27" s="265" t="s">
        <v>621</v>
      </c>
      <c r="B27" s="265"/>
      <c r="C27" s="265"/>
      <c r="D27" s="265"/>
      <c r="E27" s="265"/>
      <c r="F27" s="265"/>
      <c r="G27" s="265"/>
      <c r="H27" s="265"/>
    </row>
    <row r="28" spans="1:8" ht="19.5" customHeight="1" x14ac:dyDescent="0.35">
      <c r="A28" s="106" t="s">
        <v>26</v>
      </c>
      <c r="B28" s="106" t="s">
        <v>11</v>
      </c>
      <c r="C28" s="106" t="s">
        <v>12</v>
      </c>
      <c r="D28" s="106" t="s">
        <v>13</v>
      </c>
      <c r="E28" s="106" t="s">
        <v>14</v>
      </c>
      <c r="F28" s="106" t="s">
        <v>15</v>
      </c>
      <c r="G28" s="85"/>
      <c r="H28" s="85"/>
    </row>
    <row r="29" spans="1:8" ht="19.5" customHeight="1" x14ac:dyDescent="0.35">
      <c r="A29" s="104" t="s">
        <v>54</v>
      </c>
      <c r="B29" s="105">
        <f>Projections!B18</f>
        <v>366.34434450000003</v>
      </c>
      <c r="C29" s="105">
        <f>Projections!C18</f>
        <v>513.24563282999986</v>
      </c>
      <c r="D29" s="105">
        <f>Projections!D18</f>
        <v>619.31586366719966</v>
      </c>
      <c r="E29" s="105">
        <f>Projections!E18</f>
        <v>694.51046647271619</v>
      </c>
      <c r="F29" s="105">
        <f>Projections!F18</f>
        <v>747.91386140034285</v>
      </c>
      <c r="G29" s="85"/>
      <c r="H29" s="85"/>
    </row>
    <row r="30" spans="1:8" ht="19.5" customHeight="1" x14ac:dyDescent="0.35">
      <c r="A30" s="85"/>
      <c r="B30" s="85"/>
      <c r="C30" s="85"/>
      <c r="D30" s="85"/>
      <c r="E30" s="85"/>
      <c r="F30" s="85"/>
      <c r="G30" s="85"/>
      <c r="H30" s="85"/>
    </row>
    <row r="31" spans="1:8" ht="19.5" customHeight="1" x14ac:dyDescent="0.35">
      <c r="A31" s="85"/>
      <c r="B31" s="85"/>
      <c r="C31" s="85"/>
      <c r="D31" s="85"/>
      <c r="E31" s="85"/>
      <c r="F31" s="85"/>
      <c r="G31" s="85"/>
      <c r="H31" s="85"/>
    </row>
    <row r="32" spans="1:8" ht="19.5" customHeight="1" x14ac:dyDescent="0.35">
      <c r="A32" s="85"/>
      <c r="B32" s="85"/>
      <c r="C32" s="85"/>
      <c r="D32" s="85"/>
      <c r="E32" s="85"/>
      <c r="F32" s="85"/>
      <c r="G32" s="85"/>
      <c r="H32" s="85"/>
    </row>
    <row r="33" spans="1:8" ht="19.5" customHeight="1" x14ac:dyDescent="0.35">
      <c r="A33" s="85"/>
      <c r="B33" s="85"/>
      <c r="C33" s="85"/>
      <c r="D33" s="85"/>
      <c r="E33" s="85"/>
      <c r="F33" s="85"/>
      <c r="G33" s="85"/>
      <c r="H33" s="85"/>
    </row>
    <row r="34" spans="1:8" ht="19.5" customHeight="1" x14ac:dyDescent="0.35">
      <c r="A34" s="85"/>
      <c r="B34" s="85"/>
      <c r="C34" s="85"/>
      <c r="D34" s="85"/>
      <c r="E34" s="85"/>
      <c r="F34" s="85"/>
      <c r="G34" s="85"/>
      <c r="H34" s="85"/>
    </row>
    <row r="35" spans="1:8" ht="19.5" customHeight="1" x14ac:dyDescent="0.35">
      <c r="A35" s="85"/>
      <c r="B35" s="85"/>
      <c r="C35" s="85"/>
      <c r="D35" s="85"/>
      <c r="E35" s="85"/>
      <c r="F35" s="85"/>
      <c r="G35" s="85"/>
      <c r="H35" s="85"/>
    </row>
    <row r="36" spans="1:8" ht="19.5" customHeight="1" x14ac:dyDescent="0.35">
      <c r="A36" s="85"/>
      <c r="B36" s="85"/>
      <c r="C36" s="85"/>
      <c r="D36" s="85"/>
      <c r="E36" s="85"/>
      <c r="F36" s="85"/>
      <c r="G36" s="85"/>
      <c r="H36" s="85"/>
    </row>
    <row r="37" spans="1:8" ht="19.5" customHeight="1" x14ac:dyDescent="0.35">
      <c r="A37" s="85"/>
      <c r="B37" s="85"/>
      <c r="C37" s="85"/>
      <c r="D37" s="85"/>
      <c r="E37" s="85"/>
      <c r="F37" s="85"/>
      <c r="G37" s="85"/>
      <c r="H37" s="85"/>
    </row>
    <row r="38" spans="1:8" ht="19.5" customHeight="1" x14ac:dyDescent="0.35">
      <c r="A38" s="85"/>
      <c r="B38" s="85"/>
      <c r="C38" s="85"/>
      <c r="D38" s="85"/>
      <c r="E38" s="85"/>
      <c r="F38" s="85"/>
      <c r="G38" s="85"/>
      <c r="H38" s="85"/>
    </row>
    <row r="39" spans="1:8" ht="19.5" customHeight="1" x14ac:dyDescent="0.35">
      <c r="A39" s="85"/>
      <c r="B39" s="85"/>
      <c r="C39" s="85"/>
      <c r="D39" s="85"/>
      <c r="E39" s="85"/>
      <c r="F39" s="85"/>
      <c r="G39" s="85"/>
      <c r="H39" s="85"/>
    </row>
    <row r="40" spans="1:8" ht="19.5" customHeight="1" x14ac:dyDescent="0.35">
      <c r="A40" s="85"/>
      <c r="B40" s="85"/>
      <c r="C40" s="85"/>
      <c r="D40" s="85"/>
      <c r="E40" s="85"/>
      <c r="F40" s="85"/>
      <c r="G40" s="85"/>
      <c r="H40" s="85"/>
    </row>
    <row r="41" spans="1:8" ht="19.5" customHeight="1" x14ac:dyDescent="0.35">
      <c r="A41" s="85"/>
      <c r="B41" s="85"/>
      <c r="C41" s="85"/>
      <c r="D41" s="85"/>
      <c r="E41" s="85"/>
      <c r="F41" s="85"/>
      <c r="G41" s="85"/>
      <c r="H41" s="85"/>
    </row>
    <row r="42" spans="1:8" ht="19.5" customHeight="1" x14ac:dyDescent="0.35">
      <c r="A42" s="85"/>
      <c r="B42" s="85"/>
      <c r="C42" s="85"/>
      <c r="D42" s="85"/>
      <c r="E42" s="85"/>
      <c r="F42" s="85"/>
      <c r="G42" s="85"/>
      <c r="H42" s="85"/>
    </row>
    <row r="43" spans="1:8" ht="19.5" customHeight="1" x14ac:dyDescent="0.35">
      <c r="A43" s="85"/>
      <c r="B43" s="85"/>
      <c r="C43" s="85"/>
      <c r="D43" s="85"/>
      <c r="E43" s="85"/>
      <c r="F43" s="85"/>
      <c r="G43" s="85"/>
      <c r="H43" s="85"/>
    </row>
    <row r="44" spans="1:8" ht="19.5" customHeight="1" x14ac:dyDescent="0.35">
      <c r="A44" s="85"/>
      <c r="B44" s="85"/>
      <c r="C44" s="85"/>
      <c r="D44" s="85"/>
      <c r="E44" s="85"/>
      <c r="F44" s="85"/>
      <c r="G44" s="85"/>
      <c r="H44" s="85"/>
    </row>
    <row r="45" spans="1:8" ht="19.5" customHeight="1" x14ac:dyDescent="0.35">
      <c r="A45" s="85"/>
      <c r="B45" s="85"/>
      <c r="C45" s="85"/>
      <c r="D45" s="85"/>
      <c r="E45" s="85"/>
      <c r="F45" s="85"/>
      <c r="G45" s="85"/>
      <c r="H45" s="85"/>
    </row>
    <row r="46" spans="1:8" ht="19.5" customHeight="1" x14ac:dyDescent="0.35">
      <c r="A46" s="106" t="s">
        <v>624</v>
      </c>
      <c r="B46" s="106"/>
      <c r="C46" s="106" t="s">
        <v>625</v>
      </c>
      <c r="D46" s="106"/>
      <c r="E46" s="106" t="s">
        <v>626</v>
      </c>
      <c r="F46" s="106"/>
      <c r="G46" s="106" t="s">
        <v>627</v>
      </c>
      <c r="H46" s="106"/>
    </row>
    <row r="47" spans="1:8" ht="28" customHeight="1" x14ac:dyDescent="0.35">
      <c r="A47" s="336">
        <f>Projections!B18</f>
        <v>366.34434450000003</v>
      </c>
      <c r="B47" s="336"/>
      <c r="C47" s="336">
        <f>Projections!F18</f>
        <v>747.91386140034285</v>
      </c>
      <c r="D47" s="336"/>
      <c r="E47" s="337">
        <f>(Projections!F18/Projections!B18)^(1/4)-1</f>
        <v>0.1953374404054995</v>
      </c>
      <c r="F47" s="337"/>
      <c r="G47" s="337">
        <f>(Projections!F18/Projections!F6)-(Projections!B18/Projections!B6)</f>
        <v>0.12229099999999998</v>
      </c>
      <c r="H47" s="337"/>
    </row>
    <row r="48" spans="1:8" ht="21" customHeight="1" x14ac:dyDescent="0.35">
      <c r="A48" s="265" t="s">
        <v>622</v>
      </c>
      <c r="B48" s="265"/>
      <c r="C48" s="265"/>
      <c r="D48" s="265"/>
      <c r="E48" s="265"/>
      <c r="F48" s="265"/>
      <c r="G48" s="265"/>
      <c r="H48" s="265"/>
    </row>
    <row r="49" spans="1:8" x14ac:dyDescent="0.35">
      <c r="A49" s="106" t="s">
        <v>88</v>
      </c>
      <c r="B49" s="106" t="s">
        <v>89</v>
      </c>
      <c r="C49" s="106" t="s">
        <v>90</v>
      </c>
      <c r="D49" s="332" t="str">
        <f>"The model reconciles a DCF range of €"&amp;TEXT(B50/1000,"0.0")&amp;"bn–€"&amp;TEXT(C50/1000,"0.0")&amp;"bn with a lower comps range of €"&amp;TEXT(B51/1000,"0.0")&amp;"bn–€"&amp;TEXT(C51/1000,"0.0")&amp;"bn. The weighted output is €"&amp;TEXT(B52/1000,"0.0")&amp;"bn–€"&amp;TEXT(C52/1000,"0.0")&amp;"bn, equivalent to an indicative €"&amp;TEXT(B53,"0.00")&amp;"–€"&amp;TEXT(C53,"0.00")&amp;" per share. The full football-field visual remains on the Football_Field tab."</f>
        <v>The model reconciles a DCF range of €10.1bn–€14.1bn with a lower comps range of €6.0bn–€9.0bn. The weighted output is €8.4bn–€12.1bn, equivalent to an indicative €8.85–€17.51 per share. The full football-field visual remains on the Football_Field tab.</v>
      </c>
      <c r="E49" s="332"/>
      <c r="F49" s="332"/>
      <c r="G49" s="332"/>
      <c r="H49" s="332"/>
    </row>
    <row r="50" spans="1:8" x14ac:dyDescent="0.35">
      <c r="A50" s="104" t="s">
        <v>628</v>
      </c>
      <c r="B50" s="87">
        <f>Football_Field!B6</f>
        <v>10091.447023277391</v>
      </c>
      <c r="C50" s="87">
        <f>Football_Field!C6</f>
        <v>14116.905832823428</v>
      </c>
      <c r="D50" s="332"/>
      <c r="E50" s="332"/>
      <c r="F50" s="332"/>
      <c r="G50" s="332"/>
      <c r="H50" s="332"/>
    </row>
    <row r="51" spans="1:8" x14ac:dyDescent="0.35">
      <c r="A51" s="104" t="s">
        <v>629</v>
      </c>
      <c r="B51" s="87">
        <f>Football_Field!B7</f>
        <v>5976.4250000000002</v>
      </c>
      <c r="C51" s="87">
        <f>Football_Field!C7</f>
        <v>8964.6375000000007</v>
      </c>
      <c r="D51" s="332"/>
      <c r="E51" s="332"/>
      <c r="F51" s="332"/>
      <c r="G51" s="332"/>
      <c r="H51" s="332"/>
    </row>
    <row r="52" spans="1:8" x14ac:dyDescent="0.35">
      <c r="A52" s="107" t="s">
        <v>630</v>
      </c>
      <c r="B52" s="91">
        <f>Football_Field!B8</f>
        <v>8445.438213966434</v>
      </c>
      <c r="C52" s="91">
        <f>Football_Field!C8</f>
        <v>12055.998499694058</v>
      </c>
      <c r="D52" s="332"/>
      <c r="E52" s="332"/>
      <c r="F52" s="332"/>
      <c r="G52" s="332"/>
      <c r="H52" s="332"/>
    </row>
    <row r="53" spans="1:8" ht="26" x14ac:dyDescent="0.35">
      <c r="A53" s="86" t="s">
        <v>631</v>
      </c>
      <c r="B53" s="108">
        <f>Football_Field!B36</f>
        <v>8.8488804960447105</v>
      </c>
      <c r="C53" s="108">
        <f>Football_Field!C36</f>
        <v>17.507169283202355</v>
      </c>
      <c r="D53" s="332"/>
      <c r="E53" s="332"/>
      <c r="F53" s="332"/>
      <c r="G53" s="332"/>
      <c r="H53" s="332"/>
    </row>
    <row r="54" spans="1:8" ht="19.5" customHeight="1" x14ac:dyDescent="0.35">
      <c r="A54" s="85"/>
      <c r="B54" s="85"/>
      <c r="C54" s="85"/>
      <c r="D54" s="85"/>
      <c r="E54" s="85"/>
      <c r="F54" s="85"/>
      <c r="G54" s="85"/>
      <c r="H54" s="85"/>
    </row>
    <row r="55" spans="1:8" ht="19.5" customHeight="1" x14ac:dyDescent="0.35">
      <c r="A55" s="85"/>
      <c r="B55" s="85"/>
      <c r="C55" s="85"/>
      <c r="D55" s="85"/>
      <c r="E55" s="85"/>
      <c r="F55" s="85"/>
      <c r="G55" s="85"/>
      <c r="H55" s="85"/>
    </row>
    <row r="56" spans="1:8" ht="21" customHeight="1" x14ac:dyDescent="0.35">
      <c r="A56" s="265" t="s">
        <v>623</v>
      </c>
      <c r="B56" s="265"/>
      <c r="C56" s="265"/>
      <c r="D56" s="265"/>
      <c r="E56" s="265"/>
      <c r="F56" s="265"/>
      <c r="G56" s="265"/>
      <c r="H56" s="265"/>
    </row>
    <row r="57" spans="1:8" x14ac:dyDescent="0.35">
      <c r="A57" s="332" t="str">
        <f>"1. Revenue grows at a modest "&amp;TEXT((Projections!F6/Projections!B6)^(1/4)-1,"0.0%")&amp;" CAGR from FY2026E to FY2030E, consistent with a mature infrastructure profile.
2. Adjusted EBITDA grows faster at "&amp;TEXT((Projections!F8/Projections!B8)^(1/4)-1,"0.0%")&amp;" CAGR as the margin recovers from "&amp;TEXT(Projections!B9,"0.0%")&amp;" to "&amp;TEXT(Projections!F9,"0.0%")&amp;".
3. FCFF rises from €"&amp;TEXT(Projections!B18,"#,##0")&amp;"m to €"&amp;TEXT(Projections!F18,"#,##0")&amp;"m as capital intensity normalises.
4. Valuation remains method-sensitive: the comps range is materially below DCF, so the blended range is more defensible than a single point estimate."</f>
        <v>1. Revenue grows at a modest 2.1% CAGR from FY2026E to FY2030E, consistent with a mature infrastructure profile.
2. Adjusted EBITDA grows faster at 4.0% CAGR as the margin recovers from 45.5% to 49.0%.
3. FCFF rises from €366m to €748m as capital intensity normalises.
4. Valuation remains method-sensitive: the comps range is materially below DCF, so the blended range is more defensible than a single point estimate.</v>
      </c>
      <c r="B57" s="332"/>
      <c r="C57" s="332"/>
      <c r="D57" s="332"/>
      <c r="E57" s="332"/>
      <c r="F57" s="332"/>
      <c r="G57" s="332"/>
      <c r="H57" s="332"/>
    </row>
    <row r="58" spans="1:8" x14ac:dyDescent="0.35">
      <c r="A58" s="332"/>
      <c r="B58" s="332"/>
      <c r="C58" s="332"/>
      <c r="D58" s="332"/>
      <c r="E58" s="332"/>
      <c r="F58" s="332"/>
      <c r="G58" s="332"/>
      <c r="H58" s="332"/>
    </row>
    <row r="59" spans="1:8" ht="16.5" customHeight="1" x14ac:dyDescent="0.35">
      <c r="A59" s="332"/>
      <c r="B59" s="332"/>
      <c r="C59" s="332"/>
      <c r="D59" s="332"/>
      <c r="E59" s="332"/>
      <c r="F59" s="332"/>
      <c r="G59" s="332"/>
      <c r="H59" s="332"/>
    </row>
    <row r="60" spans="1:8" ht="26.5" customHeight="1" x14ac:dyDescent="0.35">
      <c r="A60" s="332"/>
      <c r="B60" s="332"/>
      <c r="C60" s="332"/>
      <c r="D60" s="332"/>
      <c r="E60" s="332"/>
      <c r="F60" s="332"/>
      <c r="G60" s="332"/>
      <c r="H60" s="332"/>
    </row>
    <row r="61" spans="1:8" ht="19.5" customHeight="1" x14ac:dyDescent="0.35"/>
    <row r="62" spans="1:8" ht="19.5" customHeight="1" x14ac:dyDescent="0.35"/>
    <row r="63" spans="1:8" ht="19.5" customHeight="1" x14ac:dyDescent="0.35"/>
    <row r="64" spans="1:8" ht="19.5" customHeight="1" x14ac:dyDescent="0.35"/>
    <row r="65" ht="19.5" customHeight="1" x14ac:dyDescent="0.35"/>
    <row r="66" ht="19.5" customHeight="1" x14ac:dyDescent="0.35"/>
    <row r="67" ht="19.5" customHeight="1" x14ac:dyDescent="0.35"/>
    <row r="68" ht="19.5" customHeight="1" x14ac:dyDescent="0.35"/>
    <row r="69" ht="19.5" customHeight="1" x14ac:dyDescent="0.35"/>
    <row r="70" ht="19.5" customHeight="1" x14ac:dyDescent="0.35"/>
    <row r="71" ht="19.5" customHeight="1" x14ac:dyDescent="0.35"/>
    <row r="72" ht="19.5" customHeight="1" x14ac:dyDescent="0.35"/>
    <row r="73" ht="19.5" customHeight="1" x14ac:dyDescent="0.35"/>
    <row r="74" ht="19.5" customHeight="1" x14ac:dyDescent="0.35"/>
    <row r="75" ht="19.5" customHeight="1" x14ac:dyDescent="0.35"/>
    <row r="76" ht="19.5" customHeight="1" x14ac:dyDescent="0.35"/>
    <row r="77" ht="19.5" customHeight="1" x14ac:dyDescent="0.35"/>
    <row r="78" ht="19.5" customHeight="1" x14ac:dyDescent="0.35"/>
  </sheetData>
  <mergeCells count="12">
    <mergeCell ref="A1:H1"/>
    <mergeCell ref="A2:H2"/>
    <mergeCell ref="A4:H4"/>
    <mergeCell ref="A27:H27"/>
    <mergeCell ref="A57:H60"/>
    <mergeCell ref="A48:H48"/>
    <mergeCell ref="A56:H56"/>
    <mergeCell ref="A47:B47"/>
    <mergeCell ref="C47:D47"/>
    <mergeCell ref="E47:F47"/>
    <mergeCell ref="G47:H47"/>
    <mergeCell ref="D49:H5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A5A5A5"/>
  </sheetPr>
  <dimension ref="A1:F78"/>
  <sheetViews>
    <sheetView showGridLines="0" tabSelected="1" topLeftCell="A45" zoomScaleNormal="100" workbookViewId="0">
      <selection activeCell="G48" sqref="G48"/>
    </sheetView>
  </sheetViews>
  <sheetFormatPr defaultColWidth="8.7265625" defaultRowHeight="14.5" x14ac:dyDescent="0.35"/>
  <cols>
    <col min="1" max="1" width="21.81640625" customWidth="1"/>
    <col min="2" max="2" width="16.36328125" customWidth="1"/>
    <col min="3" max="3" width="36.36328125" customWidth="1"/>
    <col min="4" max="4" width="21.81640625" customWidth="1"/>
    <col min="5" max="5" width="32.7265625" customWidth="1"/>
    <col min="6" max="6" width="25.453125" customWidth="1"/>
    <col min="7" max="7" width="22.7265625" customWidth="1"/>
    <col min="8" max="8" width="23.6328125" customWidth="1"/>
    <col min="9" max="14" width="14" customWidth="1"/>
  </cols>
  <sheetData>
    <row r="1" spans="1:6" ht="23.5" x14ac:dyDescent="0.35">
      <c r="A1" s="270" t="s">
        <v>654</v>
      </c>
      <c r="B1" s="270"/>
      <c r="C1" s="270"/>
      <c r="D1" s="270"/>
      <c r="E1" s="270"/>
      <c r="F1" s="270"/>
    </row>
    <row r="2" spans="1:6" x14ac:dyDescent="0.35">
      <c r="A2" s="271" t="s">
        <v>655</v>
      </c>
      <c r="B2" s="271"/>
      <c r="C2" s="271"/>
      <c r="D2" s="271"/>
      <c r="E2" s="271"/>
      <c r="F2" s="271"/>
    </row>
    <row r="3" spans="1:6" x14ac:dyDescent="0.35">
      <c r="A3" s="85"/>
      <c r="B3" s="85"/>
      <c r="C3" s="85"/>
      <c r="D3" s="85"/>
      <c r="E3" s="85"/>
      <c r="F3" s="85"/>
    </row>
    <row r="4" spans="1:6" x14ac:dyDescent="0.35">
      <c r="A4" s="265" t="s">
        <v>656</v>
      </c>
      <c r="B4" s="265"/>
      <c r="C4" s="265"/>
      <c r="D4" s="265"/>
      <c r="E4" s="265"/>
      <c r="F4" s="265"/>
    </row>
    <row r="5" spans="1:6" x14ac:dyDescent="0.35">
      <c r="A5" s="257" t="s">
        <v>31</v>
      </c>
      <c r="B5" s="257" t="s">
        <v>712</v>
      </c>
      <c r="C5" s="257" t="s">
        <v>657</v>
      </c>
      <c r="D5" s="257" t="s">
        <v>658</v>
      </c>
      <c r="E5" s="257" t="s">
        <v>97</v>
      </c>
      <c r="F5" s="257" t="s">
        <v>713</v>
      </c>
    </row>
    <row r="6" spans="1:6" ht="26" x14ac:dyDescent="0.35">
      <c r="A6" s="86" t="s">
        <v>659</v>
      </c>
      <c r="B6" s="88" t="s">
        <v>714</v>
      </c>
      <c r="C6" s="88" t="s">
        <v>715</v>
      </c>
      <c r="D6" s="88" t="s">
        <v>716</v>
      </c>
      <c r="E6" s="110" t="s">
        <v>660</v>
      </c>
      <c r="F6" s="86" t="s">
        <v>717</v>
      </c>
    </row>
    <row r="7" spans="1:6" ht="26" x14ac:dyDescent="0.35">
      <c r="A7" s="86" t="s">
        <v>98</v>
      </c>
      <c r="B7" s="88" t="s">
        <v>718</v>
      </c>
      <c r="C7" s="88" t="s">
        <v>719</v>
      </c>
      <c r="D7" s="88" t="s">
        <v>662</v>
      </c>
      <c r="E7" s="110" t="s">
        <v>37</v>
      </c>
      <c r="F7" s="86" t="s">
        <v>720</v>
      </c>
    </row>
    <row r="8" spans="1:6" ht="26" x14ac:dyDescent="0.35">
      <c r="A8" s="86" t="s">
        <v>663</v>
      </c>
      <c r="B8" s="88" t="s">
        <v>721</v>
      </c>
      <c r="C8" s="88" t="s">
        <v>722</v>
      </c>
      <c r="D8" s="88" t="s">
        <v>664</v>
      </c>
      <c r="E8" s="110" t="s">
        <v>100</v>
      </c>
      <c r="F8" s="86" t="s">
        <v>717</v>
      </c>
    </row>
    <row r="9" spans="1:6" ht="26" x14ac:dyDescent="0.35">
      <c r="A9" s="86" t="s">
        <v>246</v>
      </c>
      <c r="B9" s="88" t="s">
        <v>723</v>
      </c>
      <c r="C9" s="88" t="s">
        <v>724</v>
      </c>
      <c r="D9" s="88" t="s">
        <v>665</v>
      </c>
      <c r="E9" s="110" t="s">
        <v>101</v>
      </c>
      <c r="F9" s="86" t="s">
        <v>725</v>
      </c>
    </row>
    <row r="10" spans="1:6" ht="26" x14ac:dyDescent="0.35">
      <c r="A10" s="86" t="s">
        <v>251</v>
      </c>
      <c r="B10" s="88" t="s">
        <v>726</v>
      </c>
      <c r="C10" s="88" t="s">
        <v>727</v>
      </c>
      <c r="D10" s="88" t="s">
        <v>728</v>
      </c>
      <c r="E10" s="110" t="s">
        <v>102</v>
      </c>
      <c r="F10" s="86" t="s">
        <v>729</v>
      </c>
    </row>
    <row r="11" spans="1:6" ht="26" x14ac:dyDescent="0.35">
      <c r="A11" s="86" t="s">
        <v>666</v>
      </c>
      <c r="B11" s="88" t="s">
        <v>730</v>
      </c>
      <c r="C11" s="88" t="s">
        <v>667</v>
      </c>
      <c r="D11" s="88" t="s">
        <v>668</v>
      </c>
      <c r="E11" s="110" t="s">
        <v>103</v>
      </c>
      <c r="F11" s="86" t="s">
        <v>717</v>
      </c>
    </row>
    <row r="12" spans="1:6" ht="26" x14ac:dyDescent="0.35">
      <c r="A12" s="86" t="s">
        <v>261</v>
      </c>
      <c r="B12" s="88" t="s">
        <v>731</v>
      </c>
      <c r="C12" s="88" t="s">
        <v>732</v>
      </c>
      <c r="D12" s="88" t="s">
        <v>733</v>
      </c>
      <c r="E12" s="110" t="s">
        <v>106</v>
      </c>
      <c r="F12" s="86" t="s">
        <v>734</v>
      </c>
    </row>
    <row r="13" spans="1:6" ht="49" customHeight="1" x14ac:dyDescent="0.35">
      <c r="A13" s="86" t="s">
        <v>823</v>
      </c>
      <c r="B13" s="88" t="s">
        <v>824</v>
      </c>
      <c r="C13" s="88" t="s">
        <v>825</v>
      </c>
      <c r="D13" s="88" t="s">
        <v>826</v>
      </c>
      <c r="E13" s="110" t="s">
        <v>827</v>
      </c>
      <c r="F13" s="86" t="s">
        <v>828</v>
      </c>
    </row>
    <row r="14" spans="1:6" ht="52" x14ac:dyDescent="0.35">
      <c r="A14" s="86" t="s">
        <v>829</v>
      </c>
      <c r="B14" s="88" t="s">
        <v>830</v>
      </c>
      <c r="C14" s="88" t="s">
        <v>831</v>
      </c>
      <c r="D14" s="88" t="s">
        <v>832</v>
      </c>
      <c r="E14" s="110" t="s">
        <v>833</v>
      </c>
      <c r="F14" s="86" t="s">
        <v>828</v>
      </c>
    </row>
    <row r="15" spans="1:6" x14ac:dyDescent="0.35">
      <c r="A15" s="265" t="s">
        <v>669</v>
      </c>
      <c r="B15" s="265"/>
      <c r="C15" s="265"/>
      <c r="D15" s="265"/>
      <c r="E15" s="265"/>
      <c r="F15" s="265"/>
    </row>
    <row r="16" spans="1:6" x14ac:dyDescent="0.35">
      <c r="A16" s="257" t="s">
        <v>201</v>
      </c>
      <c r="B16" s="257" t="s">
        <v>670</v>
      </c>
      <c r="C16" s="267" t="s">
        <v>204</v>
      </c>
      <c r="D16" s="267"/>
      <c r="E16" s="267"/>
      <c r="F16" s="267"/>
    </row>
    <row r="17" spans="1:6" x14ac:dyDescent="0.35">
      <c r="A17" s="86" t="s">
        <v>671</v>
      </c>
      <c r="B17" s="111" t="s">
        <v>672</v>
      </c>
      <c r="C17" s="268" t="s">
        <v>673</v>
      </c>
      <c r="D17" s="268"/>
      <c r="E17" s="268"/>
      <c r="F17" s="268"/>
    </row>
    <row r="18" spans="1:6" x14ac:dyDescent="0.35">
      <c r="A18" s="86" t="s">
        <v>674</v>
      </c>
      <c r="B18" s="111" t="s">
        <v>672</v>
      </c>
      <c r="C18" s="268" t="s">
        <v>675</v>
      </c>
      <c r="D18" s="268"/>
      <c r="E18" s="268"/>
      <c r="F18" s="268"/>
    </row>
    <row r="19" spans="1:6" x14ac:dyDescent="0.35">
      <c r="A19" s="86" t="s">
        <v>676</v>
      </c>
      <c r="B19" s="111" t="s">
        <v>672</v>
      </c>
      <c r="C19" s="268" t="s">
        <v>677</v>
      </c>
      <c r="D19" s="268"/>
      <c r="E19" s="268"/>
      <c r="F19" s="268"/>
    </row>
    <row r="20" spans="1:6" ht="26" x14ac:dyDescent="0.35">
      <c r="A20" s="86" t="s">
        <v>678</v>
      </c>
      <c r="B20" s="111" t="s">
        <v>672</v>
      </c>
      <c r="C20" s="268" t="s">
        <v>679</v>
      </c>
      <c r="D20" s="268"/>
      <c r="E20" s="268"/>
      <c r="F20" s="268"/>
    </row>
    <row r="21" spans="1:6" ht="26" x14ac:dyDescent="0.35">
      <c r="A21" s="86" t="s">
        <v>680</v>
      </c>
      <c r="B21" s="111" t="s">
        <v>672</v>
      </c>
      <c r="C21" s="268" t="s">
        <v>681</v>
      </c>
      <c r="D21" s="268"/>
      <c r="E21" s="268"/>
      <c r="F21" s="268"/>
    </row>
    <row r="22" spans="1:6" ht="26" x14ac:dyDescent="0.35">
      <c r="A22" s="112" t="s">
        <v>682</v>
      </c>
      <c r="B22" s="111" t="s">
        <v>672</v>
      </c>
      <c r="C22" s="269" t="s">
        <v>834</v>
      </c>
      <c r="D22" s="269"/>
      <c r="E22" s="269"/>
      <c r="F22" s="269"/>
    </row>
    <row r="23" spans="1:6" x14ac:dyDescent="0.35">
      <c r="A23" s="85"/>
      <c r="B23" s="85"/>
      <c r="C23" s="85"/>
      <c r="D23" s="85"/>
      <c r="E23" s="85"/>
      <c r="F23" s="85"/>
    </row>
    <row r="24" spans="1:6" x14ac:dyDescent="0.35">
      <c r="A24" s="85"/>
      <c r="B24" s="85"/>
      <c r="C24" s="85"/>
      <c r="D24" s="85"/>
      <c r="E24" s="85"/>
      <c r="F24" s="85"/>
    </row>
    <row r="25" spans="1:6" x14ac:dyDescent="0.35">
      <c r="A25" s="265" t="s">
        <v>683</v>
      </c>
      <c r="B25" s="265"/>
      <c r="C25" s="265"/>
      <c r="D25" s="265"/>
      <c r="E25" s="265"/>
      <c r="F25" s="265"/>
    </row>
    <row r="26" spans="1:6" x14ac:dyDescent="0.35">
      <c r="A26" s="257" t="s">
        <v>684</v>
      </c>
      <c r="B26" s="257" t="s">
        <v>735</v>
      </c>
      <c r="C26" s="257" t="s">
        <v>685</v>
      </c>
      <c r="D26" s="257" t="s">
        <v>736</v>
      </c>
      <c r="E26" s="257" t="s">
        <v>737</v>
      </c>
      <c r="F26" s="257" t="s">
        <v>738</v>
      </c>
    </row>
    <row r="27" spans="1:6" ht="39" x14ac:dyDescent="0.35">
      <c r="A27" s="86" t="s">
        <v>686</v>
      </c>
      <c r="B27" s="88" t="s">
        <v>687</v>
      </c>
      <c r="C27" s="88" t="s">
        <v>688</v>
      </c>
      <c r="D27" s="88" t="s">
        <v>739</v>
      </c>
      <c r="E27" s="113" t="s">
        <v>740</v>
      </c>
      <c r="F27" s="88" t="s">
        <v>741</v>
      </c>
    </row>
    <row r="28" spans="1:6" ht="26" x14ac:dyDescent="0.35">
      <c r="A28" s="86" t="s">
        <v>689</v>
      </c>
      <c r="B28" s="88" t="s">
        <v>742</v>
      </c>
      <c r="C28" s="88" t="s">
        <v>690</v>
      </c>
      <c r="D28" s="88" t="s">
        <v>743</v>
      </c>
      <c r="E28" s="113" t="s">
        <v>740</v>
      </c>
      <c r="F28" s="88" t="s">
        <v>744</v>
      </c>
    </row>
    <row r="29" spans="1:6" ht="26" x14ac:dyDescent="0.35">
      <c r="A29" s="86" t="s">
        <v>691</v>
      </c>
      <c r="B29" s="88" t="s">
        <v>745</v>
      </c>
      <c r="C29" s="88" t="s">
        <v>692</v>
      </c>
      <c r="D29" s="88" t="s">
        <v>746</v>
      </c>
      <c r="E29" s="113" t="s">
        <v>740</v>
      </c>
      <c r="F29" s="88" t="s">
        <v>747</v>
      </c>
    </row>
    <row r="30" spans="1:6" ht="52" x14ac:dyDescent="0.35">
      <c r="A30" s="86" t="s">
        <v>23</v>
      </c>
      <c r="B30" s="88" t="s">
        <v>835</v>
      </c>
      <c r="C30" s="88" t="s">
        <v>836</v>
      </c>
      <c r="D30" s="88" t="s">
        <v>748</v>
      </c>
      <c r="E30" s="113" t="s">
        <v>837</v>
      </c>
      <c r="F30" s="88" t="s">
        <v>838</v>
      </c>
    </row>
    <row r="31" spans="1:6" ht="52" x14ac:dyDescent="0.35">
      <c r="A31" s="86" t="s">
        <v>791</v>
      </c>
      <c r="B31" s="88" t="s">
        <v>839</v>
      </c>
      <c r="C31" s="88" t="s">
        <v>840</v>
      </c>
      <c r="D31" s="88" t="s">
        <v>749</v>
      </c>
      <c r="E31" s="113" t="s">
        <v>837</v>
      </c>
      <c r="F31" s="88" t="s">
        <v>841</v>
      </c>
    </row>
    <row r="32" spans="1:6" ht="65" x14ac:dyDescent="0.35">
      <c r="A32" s="86" t="s">
        <v>693</v>
      </c>
      <c r="B32" s="88" t="s">
        <v>694</v>
      </c>
      <c r="C32" s="88" t="s">
        <v>751</v>
      </c>
      <c r="D32" s="88" t="s">
        <v>752</v>
      </c>
      <c r="E32" s="113" t="s">
        <v>750</v>
      </c>
      <c r="F32" s="88" t="s">
        <v>845</v>
      </c>
    </row>
    <row r="33" spans="1:6" ht="39" x14ac:dyDescent="0.35">
      <c r="A33" s="86" t="s">
        <v>695</v>
      </c>
      <c r="B33" s="88" t="s">
        <v>696</v>
      </c>
      <c r="C33" s="88" t="s">
        <v>697</v>
      </c>
      <c r="D33" s="88" t="s">
        <v>753</v>
      </c>
      <c r="E33" s="113" t="s">
        <v>754</v>
      </c>
      <c r="F33" s="88" t="s">
        <v>755</v>
      </c>
    </row>
    <row r="34" spans="1:6" x14ac:dyDescent="0.35">
      <c r="A34" s="368"/>
      <c r="B34" s="368"/>
      <c r="C34" s="368"/>
      <c r="D34" s="368"/>
      <c r="E34" s="368"/>
      <c r="F34" s="368"/>
    </row>
    <row r="35" spans="1:6" x14ac:dyDescent="0.35">
      <c r="A35" s="368"/>
      <c r="B35" s="368"/>
      <c r="C35" s="368"/>
      <c r="D35" s="368"/>
      <c r="E35" s="368"/>
      <c r="F35" s="368"/>
    </row>
    <row r="36" spans="1:6" x14ac:dyDescent="0.35">
      <c r="A36" s="374" t="s">
        <v>698</v>
      </c>
      <c r="B36" s="374"/>
      <c r="C36" s="374"/>
      <c r="D36" s="374"/>
      <c r="E36" s="374"/>
      <c r="F36" s="374"/>
    </row>
    <row r="37" spans="1:6" x14ac:dyDescent="0.35">
      <c r="A37" s="257" t="s">
        <v>699</v>
      </c>
      <c r="B37" s="257" t="s">
        <v>700</v>
      </c>
      <c r="C37" s="257" t="s">
        <v>701</v>
      </c>
      <c r="D37" s="267" t="s">
        <v>702</v>
      </c>
      <c r="E37" s="267"/>
      <c r="F37" s="267"/>
    </row>
    <row r="38" spans="1:6" ht="78" x14ac:dyDescent="0.35">
      <c r="A38" s="259">
        <v>1</v>
      </c>
      <c r="B38" s="88" t="s">
        <v>846</v>
      </c>
      <c r="C38" s="88" t="s">
        <v>756</v>
      </c>
      <c r="D38" s="268" t="s">
        <v>703</v>
      </c>
      <c r="E38" s="268"/>
      <c r="F38" s="268"/>
    </row>
    <row r="39" spans="1:6" ht="91" x14ac:dyDescent="0.35">
      <c r="A39" s="259">
        <v>2</v>
      </c>
      <c r="B39" s="88" t="s">
        <v>847</v>
      </c>
      <c r="C39" s="88" t="s">
        <v>704</v>
      </c>
      <c r="D39" s="268" t="s">
        <v>705</v>
      </c>
      <c r="E39" s="268"/>
      <c r="F39" s="268"/>
    </row>
    <row r="40" spans="1:6" ht="26" x14ac:dyDescent="0.35">
      <c r="A40" s="259">
        <v>3</v>
      </c>
      <c r="B40" s="88" t="s">
        <v>706</v>
      </c>
      <c r="C40" s="88" t="s">
        <v>707</v>
      </c>
      <c r="D40" s="268" t="s">
        <v>708</v>
      </c>
      <c r="E40" s="268"/>
      <c r="F40" s="268"/>
    </row>
    <row r="41" spans="1:6" ht="26" x14ac:dyDescent="0.35">
      <c r="A41" s="259">
        <v>4</v>
      </c>
      <c r="B41" s="88" t="s">
        <v>709</v>
      </c>
      <c r="C41" s="88" t="s">
        <v>710</v>
      </c>
      <c r="D41" s="268" t="s">
        <v>711</v>
      </c>
      <c r="E41" s="268"/>
      <c r="F41" s="268"/>
    </row>
    <row r="42" spans="1:6" x14ac:dyDescent="0.35">
      <c r="A42" s="85"/>
      <c r="B42" s="85"/>
      <c r="C42" s="85"/>
      <c r="D42" s="85"/>
      <c r="E42" s="85"/>
      <c r="F42" s="85"/>
    </row>
    <row r="43" spans="1:6" x14ac:dyDescent="0.35">
      <c r="A43" s="266" t="s">
        <v>767</v>
      </c>
      <c r="B43" s="266"/>
      <c r="C43" s="266"/>
      <c r="D43" s="266"/>
      <c r="E43" s="266"/>
      <c r="F43" s="266"/>
    </row>
    <row r="44" spans="1:6" x14ac:dyDescent="0.35">
      <c r="A44" s="258" t="s">
        <v>31</v>
      </c>
      <c r="B44" s="258" t="s">
        <v>768</v>
      </c>
      <c r="C44" s="258" t="s">
        <v>769</v>
      </c>
      <c r="D44" s="258" t="s">
        <v>97</v>
      </c>
      <c r="E44" s="258" t="s">
        <v>670</v>
      </c>
      <c r="F44" s="258" t="s">
        <v>770</v>
      </c>
    </row>
    <row r="45" spans="1:6" ht="43.5" x14ac:dyDescent="0.35">
      <c r="A45" s="123" t="s">
        <v>771</v>
      </c>
      <c r="B45" s="124" t="s">
        <v>772</v>
      </c>
      <c r="C45" s="124" t="s">
        <v>773</v>
      </c>
      <c r="D45" s="125" t="s">
        <v>763</v>
      </c>
      <c r="E45" s="124" t="s">
        <v>661</v>
      </c>
      <c r="F45" s="124" t="s">
        <v>774</v>
      </c>
    </row>
    <row r="46" spans="1:6" ht="29" x14ac:dyDescent="0.35">
      <c r="A46" s="123" t="s">
        <v>775</v>
      </c>
      <c r="B46" s="124" t="s">
        <v>776</v>
      </c>
      <c r="C46" s="124" t="s">
        <v>777</v>
      </c>
      <c r="D46" s="125" t="s">
        <v>765</v>
      </c>
      <c r="E46" s="124" t="s">
        <v>661</v>
      </c>
      <c r="F46" s="124" t="s">
        <v>778</v>
      </c>
    </row>
    <row r="47" spans="1:6" x14ac:dyDescent="0.35">
      <c r="A47" s="123" t="s">
        <v>779</v>
      </c>
      <c r="B47" s="124" t="s">
        <v>780</v>
      </c>
      <c r="C47" s="124" t="s">
        <v>781</v>
      </c>
      <c r="D47" s="125" t="s">
        <v>782</v>
      </c>
      <c r="E47" s="124" t="s">
        <v>661</v>
      </c>
      <c r="F47" s="124" t="s">
        <v>783</v>
      </c>
    </row>
    <row r="48" spans="1:6" ht="29" x14ac:dyDescent="0.35">
      <c r="A48" s="123" t="s">
        <v>784</v>
      </c>
      <c r="B48" s="124" t="s">
        <v>785</v>
      </c>
      <c r="C48" s="124" t="s">
        <v>786</v>
      </c>
      <c r="D48" s="125" t="s">
        <v>382</v>
      </c>
      <c r="E48" s="124" t="s">
        <v>787</v>
      </c>
      <c r="F48" s="124" t="s">
        <v>783</v>
      </c>
    </row>
    <row r="49" spans="1:6" x14ac:dyDescent="0.35">
      <c r="A49" s="1"/>
      <c r="B49" s="1"/>
      <c r="C49" s="1"/>
      <c r="D49" s="1"/>
      <c r="E49" s="1"/>
      <c r="F49" s="1"/>
    </row>
    <row r="50" spans="1:6" x14ac:dyDescent="0.35">
      <c r="A50" s="264" t="s">
        <v>842</v>
      </c>
      <c r="B50" s="264"/>
      <c r="C50" s="264"/>
      <c r="D50" s="264"/>
      <c r="E50" s="264"/>
      <c r="F50" s="264"/>
    </row>
    <row r="51" spans="1:6" ht="19.5" customHeight="1" x14ac:dyDescent="0.35"/>
    <row r="52" spans="1:6" ht="19.5" customHeight="1" x14ac:dyDescent="0.35"/>
    <row r="53" spans="1:6" ht="19.5" customHeight="1" x14ac:dyDescent="0.35"/>
    <row r="54" spans="1:6" ht="19.5" customHeight="1" x14ac:dyDescent="0.35"/>
    <row r="55" spans="1:6" ht="19.5" customHeight="1" x14ac:dyDescent="0.35"/>
    <row r="56" spans="1:6" ht="19.5" customHeight="1" x14ac:dyDescent="0.35"/>
    <row r="57" spans="1:6" ht="19.5" customHeight="1" x14ac:dyDescent="0.35"/>
    <row r="58" spans="1:6" ht="19.5" customHeight="1" x14ac:dyDescent="0.35"/>
    <row r="59" spans="1:6" ht="19.5" customHeight="1" x14ac:dyDescent="0.35"/>
    <row r="60" spans="1:6" ht="19.5" customHeight="1" x14ac:dyDescent="0.35"/>
    <row r="61" spans="1:6" ht="19.5" customHeight="1" x14ac:dyDescent="0.35"/>
    <row r="62" spans="1:6" ht="19.5" customHeight="1" x14ac:dyDescent="0.35"/>
    <row r="63" spans="1:6" ht="19.5" customHeight="1" x14ac:dyDescent="0.35"/>
    <row r="64" spans="1:6" ht="19.5" customHeight="1" x14ac:dyDescent="0.35"/>
    <row r="65" ht="19.5" customHeight="1" x14ac:dyDescent="0.35"/>
    <row r="66" ht="19.5" customHeight="1" x14ac:dyDescent="0.35"/>
    <row r="67" ht="19.5" customHeight="1" x14ac:dyDescent="0.35"/>
    <row r="68" ht="19.5" customHeight="1" x14ac:dyDescent="0.35"/>
    <row r="69" ht="19.5" customHeight="1" x14ac:dyDescent="0.35"/>
    <row r="70" ht="19.5" customHeight="1" x14ac:dyDescent="0.35"/>
    <row r="71" ht="19.5" customHeight="1" x14ac:dyDescent="0.35"/>
    <row r="72" ht="19.5" customHeight="1" x14ac:dyDescent="0.35"/>
    <row r="73" ht="19.5" customHeight="1" x14ac:dyDescent="0.35"/>
    <row r="74" ht="19.5" customHeight="1" x14ac:dyDescent="0.35"/>
    <row r="75" ht="19.5" customHeight="1" x14ac:dyDescent="0.35"/>
    <row r="76" ht="19.5" customHeight="1" x14ac:dyDescent="0.35"/>
    <row r="77" ht="19.5" customHeight="1" x14ac:dyDescent="0.35"/>
    <row r="78" ht="19.5" customHeight="1" x14ac:dyDescent="0.35"/>
  </sheetData>
  <mergeCells count="20">
    <mergeCell ref="C16:F16"/>
    <mergeCell ref="C17:F17"/>
    <mergeCell ref="A1:F1"/>
    <mergeCell ref="A2:F2"/>
    <mergeCell ref="A4:F4"/>
    <mergeCell ref="A15:F15"/>
    <mergeCell ref="C18:F18"/>
    <mergeCell ref="C19:F19"/>
    <mergeCell ref="C20:F20"/>
    <mergeCell ref="C21:F21"/>
    <mergeCell ref="C22:F22"/>
    <mergeCell ref="A50:F50"/>
    <mergeCell ref="A25:F25"/>
    <mergeCell ref="A36:F36"/>
    <mergeCell ref="A43:F43"/>
    <mergeCell ref="D37:F37"/>
    <mergeCell ref="D38:F38"/>
    <mergeCell ref="D39:F39"/>
    <mergeCell ref="D40:F40"/>
    <mergeCell ref="D41:F4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12</vt:i4>
      </vt:variant>
    </vt:vector>
  </HeadingPairs>
  <TitlesOfParts>
    <vt:vector size="25" baseType="lpstr">
      <vt:lpstr>Cover</vt:lpstr>
      <vt:lpstr>Exec_Summary</vt:lpstr>
      <vt:lpstr>Assumptions</vt:lpstr>
      <vt:lpstr>Data_Raw</vt:lpstr>
      <vt:lpstr>Historicals</vt:lpstr>
      <vt:lpstr>Projections</vt:lpstr>
      <vt:lpstr>WACC</vt:lpstr>
      <vt:lpstr>DCF</vt:lpstr>
      <vt:lpstr>Sensitivity</vt:lpstr>
      <vt:lpstr>Comps</vt:lpstr>
      <vt:lpstr>Football_Field</vt:lpstr>
      <vt:lpstr>Charts</vt:lpstr>
      <vt:lpstr>Sources</vt:lpstr>
      <vt:lpstr>CompsWeight</vt:lpstr>
      <vt:lpstr>DCFWeight</vt:lpstr>
      <vt:lpstr>DilutedShares</vt:lpstr>
      <vt:lpstr>FY2025AdjEBITDA</vt:lpstr>
      <vt:lpstr>MinorityInterests</vt:lpstr>
      <vt:lpstr>NetDebtToEBITDA</vt:lpstr>
      <vt:lpstr>PrimaryWACC</vt:lpstr>
      <vt:lpstr>Cover!Print_Area</vt:lpstr>
      <vt:lpstr>Exec_Summary!Print_Area</vt:lpstr>
      <vt:lpstr>Football_Field!Print_Area</vt:lpstr>
      <vt:lpstr>SelectedScenario</vt:lpstr>
      <vt:lpstr>TerminalGrowth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Joy Lorna</dc:creator>
  <cp:keywords/>
  <dc:description/>
  <cp:lastModifiedBy>Joy Lorna</cp:lastModifiedBy>
  <cp:revision>0</cp:revision>
  <dcterms:created xsi:type="dcterms:W3CDTF">2026-08-19T19:52:09Z</dcterms:created>
  <dcterms:modified xsi:type="dcterms:W3CDTF">2026-09-01T10:34:16Z</dcterms:modified>
  <cp:category/>
  <cp:contentStatus/>
</cp:coreProperties>
</file>